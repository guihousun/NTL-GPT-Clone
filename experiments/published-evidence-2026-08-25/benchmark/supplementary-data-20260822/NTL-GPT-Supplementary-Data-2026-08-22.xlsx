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2a40b8026040d1" /></Relationships>
</file>

<file path=xl/workbook.xml><?xml version="1.0" encoding="utf-8"?>
<x:workbook xmlns:x="http://schemas.openxmlformats.org/spreadsheetml/2006/main">
  <x:sheets>
    <x:sheet xmlns:r="http://schemas.openxmlformats.org/officeDocument/2006/relationships" name="README" sheetId="1" r:id="Reccd5a3945a84bc5"/>
    <x:sheet xmlns:r="http://schemas.openxmlformats.org/officeDocument/2006/relationships" name="Skills" sheetId="2" r:id="Rd3521ebb37c04857"/>
    <x:sheet xmlns:r="http://schemas.openxmlformats.org/officeDocument/2006/relationships" name="Active Tools" sheetId="3" r:id="R236c91fe3f1a400c"/>
    <x:sheet xmlns:r="http://schemas.openxmlformats.org/officeDocument/2006/relationships" name="Other Tools" sheetId="4" r:id="R8e43535d964c4caf"/>
    <x:sheet xmlns:r="http://schemas.openxmlformats.org/officeDocument/2006/relationships" name="System Tools" sheetId="5" r:id="R15c694244f5b4d84"/>
    <x:sheet xmlns:r="http://schemas.openxmlformats.org/officeDocument/2006/relationships" name="200-task results" sheetId="6" r:id="R1789ce73a7e5465d"/>
    <x:sheet xmlns:r="http://schemas.openxmlformats.org/officeDocument/2006/relationships" name="Resource summary" sheetId="7" r:id="R00cf733700bb459e"/>
    <x:sheet xmlns:r="http://schemas.openxmlformats.org/officeDocument/2006/relationships" name="Q18 Myanmar" sheetId="8" r:id="Rcb82bdcb5d9042c8"/>
    <x:sheet xmlns:r="http://schemas.openxmlformats.org/officeDocument/2006/relationships" name="Q19 Tehran" sheetId="9" r:id="Ra2d4dbc66a694e1e"/>
    <x:sheet xmlns:r="http://schemas.openxmlformats.org/officeDocument/2006/relationships" name="Q17 SDGSAT" sheetId="10" r:id="R81258456b997449d"/>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
    <x:numFmt numFmtId="201" formatCode="#,##0"/>
    <x:numFmt numFmtId="202" formatCode="0.0"/>
    <x:numFmt numFmtId="203" formatCode="0.0%"/>
    <x:numFmt numFmtId="204" formatCode="0.00"/>
    <x:numFmt numFmtId="205" formatCode="#,##0.0"/>
    <x:numFmt numFmtId="206" formatCode="0.0000"/>
    <x:numFmt numFmtId="207" formatCode="+0.00%;-0.00%"/>
    <x:numFmt numFmtId="208" formatCode="0.000000"/>
    <x:numFmt numFmtId="209" formatCode="+0.000%;-0.000%;0.000%"/>
  </x:numFmts>
  <x:fonts count="9">
    <x:font>
      <x:sz val="11"/>
      <x:name val="Carlito"/>
    </x:font>
    <x:font>
      <x:sz val="9"/>
      <x:color rgb="FF1F1F1F"/>
      <x:name val="Arial"/>
    </x:font>
    <x:font>
      <x:b/>
      <x:sz val="9"/>
      <x:color rgb="FFFFFFFF"/>
      <x:name val="Arial"/>
    </x:font>
    <x:font>
      <x:b/>
      <x:sz val="9"/>
      <x:color rgb="FF1F1F1F"/>
      <x:name val="Arial"/>
    </x:font>
    <x:font>
      <x:b/>
      <x:sz val="16"/>
      <x:color rgb="FFFFFFFF"/>
      <x:name val="Arial"/>
    </x:font>
    <x:font>
      <x:b/>
      <x:sz val="10"/>
      <x:color rgb="FF17365D"/>
      <x:name val="Arial"/>
    </x:font>
    <x:font>
      <x:sz val="10"/>
      <x:color rgb="FF1F1F1F"/>
      <x:name val="Arial"/>
    </x:font>
    <x:font>
      <x:b/>
      <x:sz val="10"/>
      <x:color rgb="FFFFFFFF"/>
      <x:name val="Arial"/>
    </x:font>
    <x:font>
      <x:b/>
      <x:sz val="10"/>
      <x:color rgb="FF44546A"/>
      <x:name val="Arial"/>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7E6E6"/>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8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203" fontId="1" fillId="0" borderId="0" xfId="0" applyNumberFormat="1" applyFont="1" applyFill="1" applyBorder="1" applyAlignment="1">
      <x:alignment vertical="top"/>
    </x:xf>
    <x:xf numFmtId="204" fontId="1" fillId="0" borderId="0" xfId="0" applyNumberFormat="1" applyFont="1" applyFill="1" applyBorder="1" applyAlignment="1">
      <x:alignment vertical="top"/>
    </x:xf>
    <x:xf numFmtId="205" fontId="1" fillId="0" borderId="0" xfId="0" applyNumberFormat="1" applyFont="1" applyFill="1" applyBorder="1" applyAlignment="1">
      <x:alignment vertical="top"/>
    </x:xf>
    <x:xf numFmtId="206" fontId="1" fillId="0" borderId="0" xfId="0" applyNumberFormat="1" applyFont="1" applyFill="1" applyBorder="1" applyAlignment="1">
      <x:alignment vertical="top"/>
    </x:xf>
    <x:xf numFmtId="207" fontId="1" fillId="0" borderId="0" xfId="0" applyNumberFormat="1" applyFont="1" applyFill="1" applyBorder="1" applyAlignment="1">
      <x:alignment vertical="top"/>
    </x:xf>
    <x:xf numFmtId="208" fontId="1" fillId="0" borderId="0" xfId="0" applyNumberFormat="1" applyFont="1" applyFill="1" applyBorder="1" applyAlignment="1">
      <x:alignment vertical="top"/>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208" fontId="0" fillId="0" borderId="0" xfId="0" applyNumberFormat="1" applyFont="1" applyFill="1" applyBorder="1"/>
    <x:xf numFmtId="209" fontId="0" fillId="0" borderId="0" xfId="0" applyNumberFormat="1" applyFont="1" applyFill="1" applyBorder="1"/>
    <x:xf numFmtId="0" fontId="3" fillId="2" borderId="0" xfId="0" applyNumberFormat="1" applyFont="1" applyFill="1" applyBorder="1" applyAlignment="1">
      <x:alignment wrapText="1"/>
    </x:xf>
    <x:xf numFmtId="208" fontId="1" fillId="0" borderId="0" xfId="0" applyNumberFormat="1" applyFont="1" applyFill="1" applyBorder="1"/>
    <x:xf numFmtId="209" fontId="1" fillId="0" borderId="0" xfId="0" applyNumberFormat="1" applyFont="1" applyFill="1" applyBorder="1"/>
    <x:xf numFmtId="0" fontId="1" fillId="0"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xf numFmtId="0" fontId="7" fillId="2" borderId="0" xfId="0" applyNumberFormat="1" applyFont="1" applyFill="1" applyBorder="1"/>
    <x:xf numFmtId="0" fontId="0" fillId="4" borderId="0" xfId="0" applyNumberFormat="1" applyFont="1" applyFill="1" applyBorder="1"/>
    <x:xf numFmtId="0" fontId="8" fillId="4" borderId="0" xfId="0" applyNumberFormat="1" applyFont="1" applyFill="1" applyBorder="1"/>
    <x:xf numFmtId="203" fontId="6" fillId="0" borderId="0" xfId="0" applyNumberFormat="1" applyFont="1" applyFill="1" applyBorder="1"/>
    <x:xf numFmtId="204" fontId="6" fillId="0" borderId="0" xfId="0" applyNumberFormat="1" applyFont="1" applyFill="1" applyBorder="1"/>
    <x:xf numFmtId="201" fontId="6" fillId="0" borderId="0" xfId="0" applyNumberFormat="1" applyFont="1" applyFill="1" applyBorder="1"/>
    <x:xf numFmtId="202" fontId="6" fillId="0" borderId="0" xfId="0" applyNumberFormat="1" applyFont="1" applyFill="1" applyBorder="1"/>
    <x:xf numFmtId="0" fontId="5" fillId="3" borderId="1" xfId="0" applyNumberFormat="1" applyFont="1" applyFill="1" applyBorder="1" applyAlignment="1">
      <x:alignment wrapText="1"/>
    </x:xf>
    <x:xf numFmtId="0" fontId="6" fillId="0" borderId="2" xfId="0" applyNumberFormat="1" applyFont="1" applyFill="1" applyBorder="1" applyAlignment="1">
      <x:alignment wrapText="1"/>
    </x:xf>
    <x:xf numFmtId="0" fontId="0" fillId="0" borderId="2" xfId="0" applyNumberFormat="1" applyFont="1" applyFill="1" applyBorder="1"/>
    <x:xf numFmtId="0" fontId="7" fillId="2" borderId="2" xfId="0" applyNumberFormat="1" applyFont="1" applyFill="1" applyBorder="1"/>
    <x:xf numFmtId="0" fontId="7" fillId="2" borderId="3" xfId="0" applyNumberFormat="1" applyFont="1" applyFill="1" applyBorder="1"/>
    <x:xf numFmtId="0" fontId="5" fillId="3" borderId="4" xfId="0" applyNumberFormat="1" applyFont="1" applyFill="1" applyBorder="1" applyAlignment="1">
      <x:alignment wrapText="1"/>
    </x:xf>
    <x:xf numFmtId="0" fontId="6" fillId="0" borderId="5" xfId="0" applyNumberFormat="1" applyFont="1" applyFill="1" applyBorder="1" applyAlignment="1">
      <x:alignment wrapText="1"/>
    </x:xf>
    <x:xf numFmtId="0" fontId="0" fillId="0" borderId="5" xfId="0" applyNumberFormat="1" applyFont="1" applyFill="1" applyBorder="1"/>
    <x:xf numFmtId="0" fontId="8" fillId="4" borderId="5" xfId="0" applyNumberFormat="1" applyFont="1" applyFill="1" applyBorder="1"/>
    <x:xf numFmtId="0" fontId="6" fillId="0" borderId="6" xfId="0" applyNumberFormat="1" applyFont="1" applyFill="1" applyBorder="1"/>
    <x:xf numFmtId="203" fontId="6" fillId="0" borderId="6" xfId="0" applyNumberFormat="1" applyFont="1" applyFill="1" applyBorder="1"/>
    <x:xf numFmtId="204" fontId="6" fillId="0" borderId="6" xfId="0" applyNumberFormat="1" applyFont="1" applyFill="1" applyBorder="1"/>
    <x:xf numFmtId="0" fontId="0" fillId="0" borderId="4" xfId="0" applyNumberFormat="1" applyFont="1" applyFill="1" applyBorder="1"/>
    <x:xf numFmtId="201" fontId="6" fillId="0" borderId="6" xfId="0" applyNumberFormat="1" applyFont="1" applyFill="1" applyBorder="1"/>
    <x:xf numFmtId="202" fontId="6"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8" fillId="4" borderId="8" xfId="0" applyNumberFormat="1" applyFont="1" applyFill="1" applyBorder="1"/>
    <x:xf numFmtId="202" fontId="6" fillId="0" borderId="9" xfId="0" applyNumberFormat="1" applyFont="1" applyFill="1" applyBorder="1"/>
    <x:xf numFmtId="0" fontId="4"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5" fillId="3" borderId="1"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0" fillId="0" borderId="2" xfId="0" applyNumberFormat="1" applyFont="1" applyFill="1" applyBorder="1" applyAlignment="1">
      <x:alignment vertical="top"/>
    </x:xf>
    <x:xf numFmtId="0" fontId="7" fillId="2" borderId="2" xfId="0" applyNumberFormat="1" applyFont="1" applyFill="1" applyBorder="1" applyAlignment="1">
      <x:alignment vertical="top"/>
    </x:xf>
    <x:xf numFmtId="0" fontId="7" fillId="2" borderId="3" xfId="0" applyNumberFormat="1" applyFont="1" applyFill="1" applyBorder="1" applyAlignment="1">
      <x:alignment vertical="top"/>
    </x:xf>
    <x:xf numFmtId="0" fontId="5" fillId="3"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0" fillId="0" borderId="5" xfId="0" applyNumberFormat="1" applyFont="1" applyFill="1" applyBorder="1" applyAlignment="1">
      <x:alignment vertical="top"/>
    </x:xf>
    <x:xf numFmtId="0" fontId="8" fillId="4" borderId="5" xfId="0" applyNumberFormat="1" applyFont="1" applyFill="1" applyBorder="1" applyAlignment="1">
      <x:alignment vertical="top"/>
    </x:xf>
    <x:xf numFmtId="0" fontId="6" fillId="0" borderId="6" xfId="0" applyNumberFormat="1" applyFont="1" applyFill="1" applyBorder="1" applyAlignment="1">
      <x:alignment vertical="top"/>
    </x:xf>
    <x:xf numFmtId="203" fontId="6" fillId="0" borderId="6" xfId="0" applyNumberFormat="1" applyFont="1" applyFill="1" applyBorder="1" applyAlignment="1">
      <x:alignment vertical="top"/>
    </x:xf>
    <x:xf numFmtId="204" fontId="6" fillId="0" borderId="6" xfId="0" applyNumberFormat="1" applyFont="1" applyFill="1" applyBorder="1" applyAlignment="1">
      <x:alignment vertical="top"/>
    </x:xf>
    <x:xf numFmtId="0" fontId="0" fillId="0" borderId="4" xfId="0" applyNumberFormat="1" applyFont="1" applyFill="1" applyBorder="1" applyAlignment="1">
      <x:alignment vertical="top"/>
    </x:xf>
    <x:xf numFmtId="201" fontId="6" fillId="0" borderId="6" xfId="0" applyNumberFormat="1" applyFont="1" applyFill="1" applyBorder="1" applyAlignment="1">
      <x:alignment vertical="top"/>
    </x:xf>
    <x:xf numFmtId="202" fontId="6"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8" fillId="4" borderId="8" xfId="0" applyNumberFormat="1" applyFont="1" applyFill="1" applyBorder="1" applyAlignment="1">
      <x:alignment vertical="top"/>
    </x:xf>
    <x:xf numFmtId="202" fontId="6" fillId="0" borderId="9" xfId="0" applyNumberFormat="1" applyFont="1" applyFill="1" applyBorder="1" applyAlignment="1">
      <x:alignment vertical="top"/>
    </x:xf>
  </x:cellXfs>
  <x:cellStyles count="1">
    <x:cellStyle name="Normal" xfId="0"/>
  </x:cellStyles>
  <x:dxfs count="4">
    <x:dxf>
      <x:font>
        <x:b/>
        <x:color rgb="FF375623"/>
      </x:font>
      <x:fill>
        <x:patternFill patternType="solid">
          <x:bgColor rgb="FFE2F0D9"/>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cb2a7f628b4260" /><Relationship Type="http://schemas.openxmlformats.org/officeDocument/2006/relationships/theme" Target="/xl/theme/theme1.xml" Id="R038ffb6af25a4bbd" /><Relationship Type="http://schemas.openxmlformats.org/officeDocument/2006/relationships/sharedStrings" Target="/xl/sharedStrings.xml" Id="R0c8b280ca0c9451f" /><Relationship Type="http://schemas.openxmlformats.org/officeDocument/2006/relationships/worksheet" Target="/xl/worksheets/sheet1.xml" Id="Reccd5a3945a84bc5" /><Relationship Type="http://schemas.openxmlformats.org/officeDocument/2006/relationships/worksheet" Target="/xl/worksheets/sheet2.xml" Id="Rd3521ebb37c04857" /><Relationship Type="http://schemas.openxmlformats.org/officeDocument/2006/relationships/worksheet" Target="/xl/worksheets/sheet3.xml" Id="R236c91fe3f1a400c" /><Relationship Type="http://schemas.openxmlformats.org/officeDocument/2006/relationships/worksheet" Target="/xl/worksheets/sheet4.xml" Id="R8e43535d964c4caf" /><Relationship Type="http://schemas.openxmlformats.org/officeDocument/2006/relationships/worksheet" Target="/xl/worksheets/sheet5.xml" Id="R15c694244f5b4d84" /><Relationship Type="http://schemas.openxmlformats.org/officeDocument/2006/relationships/worksheet" Target="/xl/worksheets/sheet6.xml" Id="R1789ce73a7e5465d" /><Relationship Type="http://schemas.openxmlformats.org/officeDocument/2006/relationships/worksheet" Target="/xl/worksheets/sheet7.xml" Id="R00cf733700bb459e" /><Relationship Type="http://schemas.openxmlformats.org/officeDocument/2006/relationships/worksheet" Target="/xl/worksheets/sheet8.xml" Id="Rcb82bdcb5d9042c8" /><Relationship Type="http://schemas.openxmlformats.org/officeDocument/2006/relationships/worksheet" Target="/xl/worksheets/sheet9.xml" Id="Ra2d4dbc66a694e1e" /><Relationship Type="http://schemas.openxmlformats.org/officeDocument/2006/relationships/worksheet" Target="/xl/worksheets/sheet10.xml" Id="R81258456b997449d" /></Relationships>
</file>

<file path=xl/tables/table1.xml><?xml version="1.0" encoding="utf-8"?>
<x:table xmlns:x="http://schemas.openxmlformats.org/spreadsheetml/2006/main" id="1" name="SkillsTable" displayName="SkillsTable" ref="A1:H36" headerRowCount="1" totalsRowCount="0" totalsRowShown="0">
  <x:autoFilter ref="A1:H36"/>
  <x:tableColumns count="8">
    <x:tableColumn id="1" name="Skill ID"/>
    <x:tableColumn id="2" name="Runtime status"/>
    <x:tableColumn id="3" name="Full roles"/>
    <x:tableColumn id="4" name="Single-Agent"/>
    <x:tableColumn id="5" name="Purpose"/>
    <x:tableColumn id="6" name="Case evidence note"/>
    <x:tableColumn id="7" name="Source"/>
    <x:tableColumn id="8" name="SHA-256"/>
  </x:tableColumns>
  <x:tableStyleInfo name="TableStyleMedium2" showFirstColumn="0" showLastColumn="0" showRowStripes="1" showColumnStripes="0"/>
</x:table>
</file>

<file path=xl/tables/table2.xml><?xml version="1.0" encoding="utf-8"?>
<x:table xmlns:x="http://schemas.openxmlformats.org/spreadsheetml/2006/main" id="2" name="ActiveToolsTable" displayName="ActiveToolsTable" ref="A1:H62" headerRowCount="1" totalsRowCount="0" totalsRowShown="0">
  <x:autoFilter ref="A1:H62"/>
  <x:tableColumns count="8">
    <x:tableColumn id="1" name="Tool export"/>
    <x:tableColumn id="2" name="Runtime name"/>
    <x:tableColumn id="3" name="Full roles"/>
    <x:tableColumn id="4" name="Single-Agent"/>
    <x:tableColumn id="5" name="Purpose"/>
    <x:tableColumn id="6" name="Source module"/>
    <x:tableColumn id="7" name="Source file"/>
    <x:tableColumn id="8" name="SHA-256"/>
  </x:tableColumns>
  <x:tableStyleInfo name="TableStyleMedium2" showFirstColumn="0" showLastColumn="0" showRowStripes="1" showColumnStripes="0"/>
</x:table>
</file>

<file path=xl/tables/table3.xml><?xml version="1.0" encoding="utf-8"?>
<x:table xmlns:x="http://schemas.openxmlformats.org/spreadsheetml/2006/main" id="3" name="OtherToolsTable" displayName="OtherToolsTable" ref="A1:G10" headerRowCount="1" totalsRowCount="0" totalsRowShown="0">
  <x:autoFilter ref="A1:G10"/>
  <x:tableColumns count="7">
    <x:tableColumn id="1" name="Tool export"/>
    <x:tableColumn id="2" name="Runtime name"/>
    <x:tableColumn id="3" name="Purpose"/>
    <x:tableColumn id="4" name="Source module"/>
    <x:tableColumn id="5" name="Source file"/>
    <x:tableColumn id="6" name="SHA-256"/>
    <x:tableColumn id="7" name="Runtime exposure"/>
  </x:tableColumns>
  <x:tableStyleInfo name="TableStyleMedium2" showFirstColumn="0" showLastColumn="0" showRowStripes="1" showColumnStripes="0"/>
</x:table>
</file>

<file path=xl/tables/table4.xml><?xml version="1.0" encoding="utf-8"?>
<x:table xmlns:x="http://schemas.openxmlformats.org/spreadsheetml/2006/main" id="4" name="SystemToolsTable" displayName="SystemToolsTable" ref="A1:D17" headerRowCount="1" totalsRowCount="0" totalsRowShown="0">
  <x:autoFilter ref="A1:D17"/>
  <x:tableColumns count="4">
    <x:tableColumn id="1" name="Tool"/>
    <x:tableColumn id="2" name="Class"/>
    <x:tableColumn id="3" name="Roles"/>
    <x:tableColumn id="4" name="Purpose"/>
  </x:tableColumns>
  <x:tableStyleInfo name="TableStyleMedium2" showFirstColumn="0" showLastColumn="0" showRowStripes="1" showColumnStripes="0"/>
</x:table>
</file>

<file path=xl/tables/table5.xml><?xml version="1.0" encoding="utf-8"?>
<x:table xmlns:x="http://schemas.openxmlformats.org/spreadsheetml/2006/main" id="5" name="BenchmarkResultsTable" displayName="BenchmarkResultsTable" ref="A1:P201" headerRowCount="1" totalsRowCount="0" totalsRowShown="0">
  <x:autoFilter ref="A1:P201"/>
  <x:tableColumns count="16">
    <x:tableColumn id="1" name="Case"/>
    <x:tableColumn id="2" name="Category"/>
    <x:tableColumn id="3" name="Task"/>
    <x:tableColumn id="4" name="Full result"/>
    <x:tableColumn id="5" name="Single result"/>
    <x:tableColumn id="6" name="Result basis"/>
    <x:tableColumn id="7" name="Full LLM calls"/>
    <x:tableColumn id="8" name="Single LLM calls"/>
    <x:tableColumn id="9" name="Full total tokens"/>
    <x:tableColumn id="10" name="Single total tokens"/>
    <x:tableColumn id="11" name="Full Tool calls"/>
    <x:tableColumn id="12" name="Single Tool calls"/>
    <x:tableColumn id="13" name="Full wall time (s)"/>
    <x:tableColumn id="14" name="Single wall time (s)"/>
    <x:tableColumn id="15" name="Override evidence"/>
    <x:tableColumn id="16" name="Override note"/>
  </x:tableColumns>
  <x:tableStyleInfo name="TableStyleMedium2" showFirstColumn="0" showLastColumn="0" showRowStripes="1" showColumnStripes="0"/>
</x:table>
</file>

<file path=xl/tables/table6.xml><?xml version="1.0" encoding="utf-8"?>
<x:table xmlns:x="http://schemas.openxmlformats.org/spreadsheetml/2006/main" id="6" name="ResourceSummaryTable" displayName="ResourceSummaryTable" ref="A1:M9" headerRowCount="1" totalsRowCount="0" totalsRowShown="0">
  <x:autoFilter ref="A1:M9"/>
  <x:tableColumns count="13">
    <x:tableColumn id="1" name="Category"/>
    <x:tableColumn id="2" name="System"/>
    <x:tableColumn id="3" name="Tasks"/>
    <x:tableColumn id="4" name="Science passes"/>
    <x:tableColumn id="5" name="Accuracy"/>
    <x:tableColumn id="6" name="Total LLM calls"/>
    <x:tableColumn id="7" name="Mean LLM calls"/>
    <x:tableColumn id="8" name="Total tokens"/>
    <x:tableColumn id="9" name="Mean tokens"/>
    <x:tableColumn id="10" name="Total Tool calls"/>
    <x:tableColumn id="11" name="Mean Tool calls"/>
    <x:tableColumn id="12" name="Total wall time (s)"/>
    <x:tableColumn id="13" name="Mean wall time (s)"/>
  </x:tableColumns>
  <x:tableStyleInfo name="TableStyleMedium2" showFirstColumn="0" showLastColumn="0" showRowStripes="1" showColumnStripes="0"/>
</x:table>
</file>

<file path=xl/tables/table7.xml><?xml version="1.0" encoding="utf-8"?>
<x:table xmlns:x="http://schemas.openxmlformats.org/spreadsheetml/2006/main" id="7" name="Q18Table" displayName="Q18Table" ref="A1:L3" headerRowCount="1" totalsRowCount="0" totalsRowShown="0">
  <x:autoFilter ref="A1:L3"/>
  <x:tableColumns count="12">
    <x:tableColumn id="1" name="Spatial support"/>
    <x:tableColumn id="2" name="Baseline UTC"/>
    <x:tableColumn id="3" name="Valid baseline days"/>
    <x:tableColumn id="4" name="Baseline mean"/>
    <x:tableColumn id="5" name="First-night UTC product date"/>
    <x:tableColumn id="6" name="First local night"/>
    <x:tableColumn id="7" name="First-night mean"/>
    <x:tableColumn id="8" name="Change"/>
    <x:tableColumn id="9" name="QA-valid pixels"/>
    <x:tableColumn id="10" name="AOI pixels"/>
    <x:tableColumn id="11" name="Median UTC_Time (h)"/>
    <x:tableColumn id="12" name="Interpretation"/>
  </x:tableColumns>
  <x:tableStyleInfo name="TableStyleMedium2" showFirstColumn="0" showLastColumn="0" showRowStripes="1" showColumnStripes="0"/>
</x:table>
</file>

<file path=xl/tables/table8.xml><?xml version="1.0" encoding="utf-8"?>
<x:table xmlns:x="http://schemas.openxmlformats.org/spreadsheetml/2006/main" id="8" name="Q19ContractTable" displayName="Q19ContractTable" ref="A1:C5" headerRowCount="1" totalsRowCount="0" totalsRowShown="0">
  <x:tableColumns count="3">
    <x:tableColumn id="1" name="Contract element"/>
    <x:tableColumn id="2" name="Case definition"/>
    <x:tableColumn id="3" name="Interpretation boundary"/>
  </x:tableColumns>
  <x:tableStyleInfo name="TableStyleMedium2" showFirstColumn="0" showLastColumn="0" showRowStripes="1" showColumnStripes="0"/>
</x:table>
</file>

<file path=xl/tables/table9.xml><?xml version="1.0" encoding="utf-8"?>
<x:table xmlns:x="http://schemas.openxmlformats.org/spreadsheetml/2006/main" id="9" name="Q19WindowsTable" displayName="Q19WindowsTable" ref="A8:H12" headerRowCount="1" totalsRowCount="0" totalsRowShown="0">
  <x:tableColumns count="8">
    <x:tableColumn id="1" name="Window"/>
    <x:tableColumn id="2" name="Start UTC"/>
    <x:tableColumn id="3" name="End UTC"/>
    <x:tableColumn id="4" name="Calendar days"/>
    <x:tableColumn id="5" name="Images"/>
    <x:tableColumn id="6" name="Qualified days"/>
    <x:tableColumn id="7" name="Mean ANTL"/>
    <x:tableColumn id="8" name="Change vs baseline"/>
  </x:tableColumns>
  <x:tableStyleInfo name="TableStyleMedium2" showFirstColumn="0" showLastColumn="0" showRowStripes="1" showColumnStripes="0"/>
</x:table>
</file>

<file path=xl/tables/table10.xml><?xml version="1.0" encoding="utf-8"?>
<x:table xmlns:x="http://schemas.openxmlformats.org/spreadsheetml/2006/main" id="10" name="Q17Table" displayName="Q17Table" ref="A1:C8" headerRowCount="1" totalsRowCount="0" totalsRowShown="0">
  <x:autoFilter ref="A1:C8"/>
  <x:tableColumns count="3">
    <x:tableColumn id="1" name="Element"/>
    <x:tableColumn id="2" name="Value"/>
    <x:tableColumn id="3" name="Validation or interpretation bound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5d993bc5db49c5" /></Relationships>
</file>

<file path=xl/worksheets/_rels/sheet3.xml.rels>&#65279;<?xml version="1.0" encoding="utf-8"?><Relationships xmlns="http://schemas.openxmlformats.org/package/2006/relationships"><Relationship Type="http://schemas.openxmlformats.org/officeDocument/2006/relationships/table" Target="/xl/tables/table2.xml" Id="Ra001038f852f4e8c" /></Relationships>
</file>

<file path=xl/worksheets/_rels/sheet4.xml.rels>&#65279;<?xml version="1.0" encoding="utf-8"?><Relationships xmlns="http://schemas.openxmlformats.org/package/2006/relationships"><Relationship Type="http://schemas.openxmlformats.org/officeDocument/2006/relationships/table" Target="/xl/tables/table3.xml" Id="R8a9a572cc9aa4f9e" /></Relationships>
</file>

<file path=xl/worksheets/_rels/sheet5.xml.rels>&#65279;<?xml version="1.0" encoding="utf-8"?><Relationships xmlns="http://schemas.openxmlformats.org/package/2006/relationships"><Relationship Type="http://schemas.openxmlformats.org/officeDocument/2006/relationships/table" Target="/xl/tables/table4.xml" Id="Rcef607bc2b194750" /></Relationships>
</file>

<file path=xl/worksheets/_rels/sheet6.xml.rels>&#65279;<?xml version="1.0" encoding="utf-8"?><Relationships xmlns="http://schemas.openxmlformats.org/package/2006/relationships"><Relationship Type="http://schemas.openxmlformats.org/officeDocument/2006/relationships/table" Target="/xl/tables/table5.xml" Id="R9a924a36fe864f45" /></Relationships>
</file>

<file path=xl/worksheets/_rels/sheet7.xml.rels>&#65279;<?xml version="1.0" encoding="utf-8"?><Relationships xmlns="http://schemas.openxmlformats.org/package/2006/relationships"><Relationship Type="http://schemas.openxmlformats.org/officeDocument/2006/relationships/table" Target="/xl/tables/table6.xml" Id="Rdd2fef00b0ce48c6" /></Relationships>
</file>

<file path=xl/worksheets/_rels/sheet8.xml.rels>&#65279;<?xml version="1.0" encoding="utf-8"?><Relationships xmlns="http://schemas.openxmlformats.org/package/2006/relationships"><Relationship Type="http://schemas.openxmlformats.org/officeDocument/2006/relationships/table" Target="/xl/tables/table7.xml" Id="R3a1d7b2722d94076" /></Relationships>
</file>

<file path=xl/worksheets/_rels/sheet9.xml.rels>&#65279;<?xml version="1.0" encoding="utf-8"?><Relationships xmlns="http://schemas.openxmlformats.org/package/2006/relationships"><Relationship Type="http://schemas.openxmlformats.org/officeDocument/2006/relationships/table" Target="/xl/tables/table8.xml" Id="Re4c5b0f6cad64584" /><Relationship Type="http://schemas.openxmlformats.org/officeDocument/2006/relationships/table" Target="/xl/tables/table9.xml" Id="R2926d3d8114346cc" /></Relationships>
</file>

<file path=xl/worksheets/_rels/sheet10.xml.rels>&#65279;<?xml version="1.0" encoding="utf-8"?><Relationships xmlns="http://schemas.openxmlformats.org/package/2006/relationships"><Relationship Type="http://schemas.openxmlformats.org/officeDocument/2006/relationships/table" Target="/xl/tables/table10.xml" Id="R750b7f0183ff413c" /></Relationships>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76.25" hidden="0" customWidth="1"/>
    <x:col min="3" max="3" width="3" hidden="0" customWidth="1"/>
    <x:col min="4" max="4" width="28.75" hidden="0" customWidth="1"/>
    <x:col min="5" max="5" width="21.25" hidden="0" customWidth="1"/>
  </x:cols>
  <x:sheetData>
    <x:row r="1" ht="31.5" customHeight="1">
      <x:c r="A1" s="60" t="str">
        <x:v>NTL-GPT Supplementary Data — 2026-08-22</x:v>
      </x:c>
      <x:c r="B1" s="60"/>
      <x:c r="C1" s="60"/>
      <x:c r="D1" s="60"/>
      <x:c r="E1" s="60"/>
      <x:c r="F1" s="60"/>
    </x:row>
    <x:row r="2">
      <x:c r="A2" s="61"/>
      <x:c r="B2" s="61"/>
      <x:c r="C2" s="61"/>
      <x:c r="D2" s="61"/>
      <x:c r="E2" s="61"/>
      <x:c r="F2" s="61"/>
    </x:row>
    <x:row r="3">
      <x:c r="A3" s="62" t="str">
        <x:v>Scope</x:v>
      </x:c>
      <x:c r="B3" s="63" t="str">
        <x:v>Current Tool/Skill inventories, 200-task outcomes, paired resource telemetry, and Q17/Q18/Q19 case evidence.</x:v>
      </x:c>
      <x:c r="C3" s="64"/>
      <x:c r="D3" s="65" t="str">
        <x:v>Benchmark measure</x:v>
      </x:c>
      <x:c r="E3" s="66" t="str">
        <x:v>Formula-derived value</x:v>
      </x:c>
      <x:c r="F3" s="61"/>
    </x:row>
    <x:row r="4">
      <x:c r="A4" s="67" t="str">
        <x:v>Runtime Git HEAD</x:v>
      </x:c>
      <x:c r="B4" s="68" t="str">
        <x:v>14b95a2379d7d2a53e6df3adf1f1d6a51b086dec</x:v>
      </x:c>
      <x:c r="C4" s="69"/>
      <x:c r="D4" s="70" t="str">
        <x:v>Cases</x:v>
      </x:c>
      <x:c r="E4" s="71" t="n">
        <x:f>COUNTA('200-task results'!A2:A201)</x:f>
        <x:v>200</x:v>
      </x:c>
      <x:c r="F4" s="61"/>
    </x:row>
    <x:row r="5">
      <x:c r="A5" s="67" t="str">
        <x:v>Runtime source bundle</x:v>
      </x:c>
      <x:c r="B5" s="68" t="str">
        <x:v>487ce9372d9e08141755d518eacab8216327cb4f7f13b9c6903c0aa4f641702d</x:v>
      </x:c>
      <x:c r="C5" s="69"/>
      <x:c r="D5" s="70" t="str">
        <x:v>Full passes</x:v>
      </x:c>
      <x:c r="E5" s="71" t="n">
        <x:f>COUNTIF('200-task results'!D2:D201,"Pass")</x:f>
        <x:v>176</x:v>
      </x:c>
      <x:c r="F5" s="61"/>
    </x:row>
    <x:row r="6">
      <x:c r="A6" s="67" t="str">
        <x:v>Outcome rule</x:v>
      </x:c>
      <x:c r="B6" s="68" t="str">
        <x:v>Accepted scientific success under the frozen task contract, including five explicit post-foundation mode/case adjudications.</x:v>
      </x:c>
      <x:c r="C6" s="69"/>
      <x:c r="D6" s="70" t="str">
        <x:v>Single passes</x:v>
      </x:c>
      <x:c r="E6" s="71" t="n">
        <x:f>COUNTIF('200-task results'!E2:E201,"Pass")</x:f>
        <x:v>170</x:v>
      </x:c>
      <x:c r="F6" s="61"/>
    </x:row>
    <x:row r="7">
      <x:c r="A7" s="67" t="str">
        <x:v>Resource rule</x:v>
      </x:c>
      <x:c r="B7" s="68" t="str">
        <x:v>Original paired 200-task telemetry; targeted rerun overhead is not added or substituted.</x:v>
      </x:c>
      <x:c r="C7" s="69"/>
      <x:c r="D7" s="70" t="str">
        <x:v>Full accuracy</x:v>
      </x:c>
      <x:c r="E7" s="72" t="n">
        <x:f>E5/E4</x:f>
        <x:v>0.88</x:v>
      </x:c>
      <x:c r="F7" s="61"/>
    </x:row>
    <x:row r="8">
      <x:c r="A8" s="67" t="str">
        <x:v>Role-loaded Skills</x:v>
      </x:c>
      <x:c r="B8" s="68" t="n">
        <x:v>22</x:v>
      </x:c>
      <x:c r="C8" s="69"/>
      <x:c r="D8" s="70" t="str">
        <x:v>Single accuracy</x:v>
      </x:c>
      <x:c r="E8" s="72" t="n">
        <x:f>E6/E4</x:f>
        <x:v>0.85</x:v>
      </x:c>
      <x:c r="F8" s="61"/>
    </x:row>
    <x:row r="9">
      <x:c r="A9" s="67" t="str">
        <x:v>Active domain Tools</x:v>
      </x:c>
      <x:c r="B9" s="68" t="n">
        <x:v>61</x:v>
      </x:c>
      <x:c r="C9" s="69"/>
      <x:c r="D9" s="70" t="str">
        <x:v>Full mean LLM calls</x:v>
      </x:c>
      <x:c r="E9" s="73" t="n">
        <x:f>AVERAGE('200-task results'!G2:G201)</x:f>
        <x:v>18.475</x:v>
      </x:c>
      <x:c r="F9" s="61"/>
    </x:row>
    <x:row r="10">
      <x:c r="A10" s="74"/>
      <x:c r="B10" s="69"/>
      <x:c r="C10" s="69"/>
      <x:c r="D10" s="70" t="str">
        <x:v>Single mean LLM calls</x:v>
      </x:c>
      <x:c r="E10" s="73" t="n">
        <x:f>AVERAGE('200-task results'!H2:H201)</x:f>
        <x:v>12.38</x:v>
      </x:c>
      <x:c r="F10" s="61"/>
    </x:row>
    <x:row r="11">
      <x:c r="A11" s="74"/>
      <x:c r="B11" s="69"/>
      <x:c r="C11" s="69"/>
      <x:c r="D11" s="70" t="str">
        <x:v>Full mean total tokens</x:v>
      </x:c>
      <x:c r="E11" s="75" t="n">
        <x:f>AVERAGE('200-task results'!I2:I201)</x:f>
        <x:v>638871.795</x:v>
      </x:c>
      <x:c r="F11" s="61"/>
    </x:row>
    <x:row r="12">
      <x:c r="A12" s="74"/>
      <x:c r="B12" s="69"/>
      <x:c r="C12" s="69"/>
      <x:c r="D12" s="70" t="str">
        <x:v>Single mean total tokens</x:v>
      </x:c>
      <x:c r="E12" s="75" t="n">
        <x:f>AVERAGE('200-task results'!J2:J201)</x:f>
        <x:v>746900.21</x:v>
      </x:c>
      <x:c r="F12" s="61"/>
    </x:row>
    <x:row r="13">
      <x:c r="A13" s="74"/>
      <x:c r="B13" s="69"/>
      <x:c r="C13" s="69"/>
      <x:c r="D13" s="70" t="str">
        <x:v>Full mean Tool calls</x:v>
      </x:c>
      <x:c r="E13" s="73" t="n">
        <x:f>AVERAGE('200-task results'!K2:K201)</x:f>
        <x:v>28.445</x:v>
      </x:c>
      <x:c r="F13" s="61"/>
    </x:row>
    <x:row r="14">
      <x:c r="A14" s="74"/>
      <x:c r="B14" s="69"/>
      <x:c r="C14" s="69"/>
      <x:c r="D14" s="70" t="str">
        <x:v>Single mean Tool calls</x:v>
      </x:c>
      <x:c r="E14" s="73" t="n">
        <x:f>AVERAGE('200-task results'!L2:L201)</x:f>
        <x:v>17.665</x:v>
      </x:c>
      <x:c r="F14" s="61"/>
    </x:row>
    <x:row r="15">
      <x:c r="A15" s="74"/>
      <x:c r="B15" s="69"/>
      <x:c r="C15" s="69"/>
      <x:c r="D15" s="70" t="str">
        <x:v>Full mean wall time (s)</x:v>
      </x:c>
      <x:c r="E15" s="76" t="n">
        <x:f>AVERAGE('200-task results'!M2:M201)</x:f>
        <x:v>258.0820967354997</x:v>
      </x:c>
      <x:c r="F15" s="61"/>
    </x:row>
    <x:row r="16">
      <x:c r="A16" s="74"/>
      <x:c r="B16" s="69"/>
      <x:c r="C16" s="69"/>
      <x:c r="D16" s="70" t="str">
        <x:v>Single mean wall time (s)</x:v>
      </x:c>
      <x:c r="E16" s="76" t="n">
        <x:f>AVERAGE('200-task results'!N2:N201)</x:f>
        <x:v>176.62021311950008</x:v>
      </x:c>
      <x:c r="F16" s="61"/>
    </x:row>
    <x:row r="17">
      <x:c r="A17" s="77"/>
      <x:c r="B17" s="78"/>
      <x:c r="C17" s="78"/>
      <x:c r="D17" s="79" t="str">
        <x:v>Accuracy difference (p.p.)</x:v>
      </x:c>
      <x:c r="E17" s="80" t="n">
        <x:f>(E7-E8)*100</x:f>
        <x:v>3.0000000000000027</x:v>
      </x:c>
      <x:c r="F17" s="6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20" hidden="0" customWidth="1"/>
    <x:col min="3" max="3" width="32.5" hidden="0" customWidth="1"/>
    <x:col min="4" max="4" width="11.25" hidden="0" customWidth="1"/>
    <x:col min="5" max="5" width="57.5" hidden="0" customWidth="1"/>
    <x:col min="6" max="6" width="45" hidden="0" customWidth="1"/>
    <x:col min="7" max="7" width="37.5" hidden="0" customWidth="1"/>
    <x:col min="8" max="8" width="45" hidden="0" customWidth="1"/>
  </x:cols>
  <x:sheetData>
    <x:row r="1" ht="27" customHeight="1">
      <x:c r="A1" s="6" t="str">
        <x:v>Skill ID</x:v>
      </x:c>
      <x:c r="B1" s="6" t="str">
        <x:v>Runtime status</x:v>
      </x:c>
      <x:c r="C1" s="6" t="str">
        <x:v>Full roles</x:v>
      </x:c>
      <x:c r="D1" s="6" t="str">
        <x:v>Single-Agent</x:v>
      </x:c>
      <x:c r="E1" s="6" t="str">
        <x:v>Purpose</x:v>
      </x:c>
      <x:c r="F1" s="6" t="str">
        <x:v>Case evidence note</x:v>
      </x:c>
      <x:c r="G1" s="6" t="str">
        <x:v>Source</x:v>
      </x:c>
      <x:c r="H1" s="6" t="str">
        <x:v>SHA-256</x:v>
      </x:c>
    </x:row>
    <x:row r="2">
      <x:c r="A2" s="2" t="str">
        <x:v>code-execution-validation</x:v>
      </x:c>
      <x:c r="B2" s="2" t="str">
        <x:v>role-loaded</x:v>
      </x:c>
      <x:c r="C2" s="7" t="str">
        <x:v>NTL Analyst</x:v>
      </x:c>
      <x:c r="D2" s="2" t="str">
        <x:v>Yes</x:v>
      </x:c>
      <x:c r="E2" s="7" t="str">
        <x:v>Apply the Analyst's internal Geo-CodeCoT lifecycle to v2 scripts, execution, artifacts, validation, and one bounded technical repair.</x:v>
      </x:c>
      <x:c r="F2" s="7" t="str"/>
      <x:c r="G2" s="7" t="str">
        <x:v>.ntl-gpt/skills/analyst/code-execution-validation/SKILL.md</x:v>
      </x:c>
      <x:c r="H2" s="2" t="str">
        <x:v>12164672bdf935a5057841e9ddb576545dcbff208830b660c8affcaf26e1a9dd</x:v>
      </x:c>
    </x:row>
    <x:row r="3">
      <x:c r="A3" s="2" t="str">
        <x:v>event-window-analysis</x:v>
      </x:c>
      <x:c r="B3" s="2" t="str">
        <x:v>role-loaded</x:v>
      </x:c>
      <x:c r="C3" s="7" t="str">
        <x:v>NTL Analyst</x:v>
      </x:c>
      <x:c r="D3" s="2" t="str">
        <x:v>Yes</x:v>
      </x:c>
      <x:c r="E3" s="7" t="str">
        <x:v>Analyze accepted pre-event, event, and post-event nighttime-light windows while preserving temporal and non-attribution limits.</x:v>
      </x:c>
      <x:c r="F3" s="7" t="str"/>
      <x:c r="G3" s="7" t="str">
        <x:v>.ntl-gpt/skills/analyst/event-window-analysis/SKILL.md</x:v>
      </x:c>
      <x:c r="H3" s="2" t="str">
        <x:v>c1a6edaf51c86bdf0ebcb598ec2cd3fd6feb375aa540db6c0da0add499dbda1f</x:v>
      </x:c>
    </x:row>
    <x:row r="4">
      <x:c r="A4" s="2" t="str">
        <x:v>geospatial-visualization</x:v>
      </x:c>
      <x:c r="B4" s="2" t="str">
        <x:v>role-loaded</x:v>
      </x:c>
      <x:c r="C4" s="7" t="str">
        <x:v>NTL Analyst</x:v>
      </x:c>
      <x:c r="D4" s="2" t="str">
        <x:v>Yes</x:v>
      </x:c>
      <x:c r="E4" s="7" t="str">
        <x:v>Generate evidence-linked nighttime-light maps and charts from validated analysis outputs without overstating visual patterns.</x:v>
      </x:c>
      <x:c r="F4" s="7" t="str"/>
      <x:c r="G4" s="7" t="str">
        <x:v>.ntl-gpt/skills/analyst/geospatial-visualization/SKILL.md</x:v>
      </x:c>
      <x:c r="H4" s="2" t="str">
        <x:v>968a05d726ed978fd94a71baddc4d4e2ed6f32ed53f34f645848a7a44b3161dd</x:v>
      </x:c>
    </x:row>
    <x:row r="5">
      <x:c r="A5" s="2" t="str">
        <x:v>ntl-statistics-and-time-series</x:v>
      </x:c>
      <x:c r="B5" s="2" t="str">
        <x:v>role-loaded</x:v>
      </x:c>
      <x:c r="C5" s="7" t="str">
        <x:v>NTL Analyst</x:v>
      </x:c>
      <x:c r="D5" s="2" t="str">
        <x:v>Yes</x:v>
      </x:c>
      <x:c r="E5" s="7" t="str">
        <x:v>Execute task-specific nighttime-light statistics, time-series, trend, anomaly, and comparison workflows on accepted observations.</x:v>
      </x:c>
      <x:c r="F5" s="7" t="str"/>
      <x:c r="G5" s="7" t="str">
        <x:v>.ntl-gpt/skills/analyst/ntl-statistics-and-time-series/SKILL.md</x:v>
      </x:c>
      <x:c r="H5" s="2" t="str">
        <x:v>9e5185689c7247cc23c9021ea4ce39e0d79f3e67895b97019b7c20b9100b5229</x:v>
      </x:c>
    </x:row>
    <x:row r="6">
      <x:c r="A6" s="2" t="str">
        <x:v>thematic-modeling</x:v>
      </x:c>
      <x:c r="B6" s="2" t="str">
        <x:v>role-loaded</x:v>
      </x:c>
      <x:c r="C6" s="7" t="str">
        <x:v>NTL Analyst</x:v>
      </x:c>
      <x:c r="D6" s="2" t="str">
        <x:v>Yes</x:v>
      </x:c>
      <x:c r="E6" s="7" t="str">
        <x:v>Execute assigned urban, classification, regression, indicator, and other thematic nighttime-light models with reproducible validation.</x:v>
      </x:c>
      <x:c r="F6" s="7" t="str"/>
      <x:c r="G6" s="7" t="str">
        <x:v>.ntl-gpt/skills/analyst/thematic-modeling/SKILL.md</x:v>
      </x:c>
      <x:c r="H6" s="2" t="str">
        <x:v>5cf7385622ca9784a28cec6809785bf05e99969fd4610c6935b0bcdf731284c1</x:v>
      </x:c>
    </x:row>
    <x:row r="7">
      <x:c r="A7" s="2" t="str">
        <x:v>code-generation-execution-loop</x:v>
      </x:c>
      <x:c r="B7" s="2" t="str">
        <x:v>repository skill; not role-loaded</x:v>
      </x:c>
      <x:c r="C7" s="7" t="str"/>
      <x:c r="D7" s="2" t="str">
        <x:v>No</x:v>
      </x:c>
      <x:c r="E7" s="7" t="str">
        <x:v>Use when handling Engineer-owned geospatial scripts with contract-v2 preflight, direct execution, optional independent review, output validation, and bounded repair.</x:v>
      </x:c>
      <x:c r="F7" s="7" t="str"/>
      <x:c r="G7" s="7" t="str">
        <x:v>.ntl-gpt/skills/code-generation-execution-loop/SKILL.md</x:v>
      </x:c>
      <x:c r="H7" s="2" t="str">
        <x:v>2af0f57eef07b026c51219fa7715507abb1ffe928e24aa7bb3dd66f94afb98f3</x:v>
      </x:c>
    </x:row>
    <x:row r="8">
      <x:c r="A8" s="2" t="str">
        <x:v>architecture-and-capability-map</x:v>
      </x:c>
      <x:c r="B8" s="2" t="str">
        <x:v>role-loaded</x:v>
      </x:c>
      <x:c r="C8" s="7" t="str">
        <x:v>NTL Engineer, NTL Data Searcher, NTL Analyst, NTL Event Tracker</x:v>
      </x:c>
      <x:c r="D8" s="2" t="str">
        <x:v>Yes</x:v>
      </x:c>
      <x:c r="E8" s="7" t="str">
        <x:v>Shared runtime memory for the four-role NTL-GPT routing and capability boundaries.</x:v>
      </x:c>
      <x:c r="F8" s="7" t="str"/>
      <x:c r="G8" s="7" t="str">
        <x:v>.ntl-gpt/skills/common/architecture-and-capability-map/SKILL.md</x:v>
      </x:c>
      <x:c r="H8" s="2" t="str">
        <x:v>d824ebd24dddf0d91c0abcbb2d1ada0374f67d7558994e4f8a933d8c66477c05</x:v>
      </x:c>
    </x:row>
    <x:row r="9">
      <x:c r="A9" s="2" t="str">
        <x:v>disaster-event-observation-workflow</x:v>
      </x:c>
      <x:c r="B9" s="2" t="str">
        <x:v>role-loaded</x:v>
      </x:c>
      <x:c r="C9" s="7" t="str">
        <x:v>NTL Engineer, NTL Data Searcher, NTL Analyst, NTL Event Tracker</x:v>
      </x:c>
      <x:c r="D9" s="2" t="str">
        <x:v>Yes</x:v>
      </x:c>
      <x:c r="E9" s="7" t="str">
        <x:v>Route disaster, outage, accident, and recovery requests from source-bounded event facts through observation selection and bounded nighttime-light analysis. Use when a task needs an event time, event AOI, quality-screened observations, or event-window comparison.</x:v>
      </x:c>
      <x:c r="F9" s="7" t="str"/>
      <x:c r="G9" s="7" t="str">
        <x:v>.ntl-gpt/skills/common/disaster-event-observation-workflow/SKILL.md</x:v>
      </x:c>
      <x:c r="H9" s="2" t="str">
        <x:v>590cf82721ce8eacc333608e0442d2a24390cdd2f47014d9b840846cf7f53f12</x:v>
      </x:c>
    </x:row>
    <x:row r="10">
      <x:c r="A10" s="2" t="str">
        <x:v>provenance-and-evidence-boundary</x:v>
      </x:c>
      <x:c r="B10" s="2" t="str">
        <x:v>role-loaded</x:v>
      </x:c>
      <x:c r="C10" s="7" t="str">
        <x:v>NTL Engineer, NTL Data Searcher, NTL Analyst, NTL Event Tracker</x:v>
      </x:c>
      <x:c r="D10" s="2" t="str">
        <x:v>Yes</x:v>
      </x:c>
      <x:c r="E10" s="7" t="str">
        <x:v>Preserve source provenance, temporal scope, uncertainty, and non-attribution boundaries across NTL-GPT roles.</x:v>
      </x:c>
      <x:c r="F10" s="7" t="str"/>
      <x:c r="G10" s="7" t="str">
        <x:v>.ntl-gpt/skills/common/provenance-and-evidence-boundary/SKILL.md</x:v>
      </x:c>
      <x:c r="H10" s="2" t="str">
        <x:v>a3e32404ce07c62c2c4aa741bb0832d73544d697405d6a953354169adef948ae</x:v>
      </x:c>
    </x:row>
    <x:row r="11">
      <x:c r="A11" s="2" t="str">
        <x:v>structured-handoff</x:v>
      </x:c>
      <x:c r="B11" s="2" t="str">
        <x:v>role-loaded</x:v>
      </x:c>
      <x:c r="C11" s="7" t="str">
        <x:v>NTL Engineer, NTL Data Searcher, NTL Analyst, NTL Event Tracker</x:v>
      </x:c>
      <x:c r="D11" s="2" t="str">
        <x:v>Yes</x:v>
      </x:c>
      <x:c r="E11" s="7" t="str">
        <x:v>Choose between a typed NTL-GPT scientific package and a concise native summary for Engineer-specialist handoffs.</x:v>
      </x:c>
      <x:c r="F11" s="7" t="str"/>
      <x:c r="G11" s="7" t="str">
        <x:v>.ntl-gpt/skills/common/structured-handoff/SKILL.md</x:v>
      </x:c>
      <x:c r="H11" s="2" t="str">
        <x:v>3a26b0a136733dca540121cb0d4a49fa1e7ff8db9339e3a773e026930c2003f5</x:v>
      </x:c>
    </x:row>
    <x:row r="12">
      <x:c r="A12" s="2" t="str">
        <x:v>workspace-and-artifact-contract</x:v>
      </x:c>
      <x:c r="B12" s="2" t="str">
        <x:v>role-loaded</x:v>
      </x:c>
      <x:c r="C12" s="7" t="str">
        <x:v>NTL Engineer, NTL Data Searcher, NTL Analyst, NTL Event Tracker</x:v>
      </x:c>
      <x:c r="D12" s="2" t="str">
        <x:v>Yes</x:v>
      </x:c>
      <x:c r="E12" s="7" t="str">
        <x:v>Enforce the isolated NTL-GPT workspace, artifact paths, manifests, and checksum rules shared by all four roles.</x:v>
      </x:c>
      <x:c r="F12" s="7" t="str"/>
      <x:c r="G12" s="7" t="str">
        <x:v>.ntl-gpt/skills/common/workspace-and-artifact-contract/SKILL.md</x:v>
      </x:c>
      <x:c r="H12" s="2" t="str">
        <x:v>5298ff52e97f7435dd141b0bf5435b7c9f169fa5efd1dbab4acdd418b60a2eec</x:v>
      </x:c>
    </x:row>
    <x:row r="13">
      <x:c r="A13" s="2" t="str">
        <x:v>conflict-city-ntl-analysis</x:v>
      </x:c>
      <x:c r="B13" s="2" t="str">
        <x:v>repository skill; not role-loaded</x:v>
      </x:c>
      <x:c r="C13" s="7" t="str"/>
      <x:c r="D13" s="2" t="str">
        <x:v>No</x:v>
      </x:c>
      <x:c r="E13" s="7" t="str">
        <x:v>Use when a task asks NTL-GPT to retrieve an authorized structured conflict-event source, rank the cities with the most retrieved attack records in Iran and Israel (including all ties), and compare pre/post nighttime light. This workflow is source-gated, traceable, does not use QGIS MCP, and never treats NTL change as proof of damage or causation.</x:v>
      </x:c>
      <x:c r="F13" s="7" t="str">
        <x:v>Manually used in the Codex-subagent conflict case evidence; not auto-loaded by current role_specs.py.</x:v>
      </x:c>
      <x:c r="G13" s="7" t="str">
        <x:v>.ntl-gpt/skills/conflict-city-ntl-analysis/SKILL.md</x:v>
      </x:c>
      <x:c r="H13" s="2" t="str">
        <x:v>318a038995ea6e0d2dd945371d3b5d4cf9f159ddbe949fbd27e211246a6f83ea</x:v>
      </x:c>
    </x:row>
    <x:row r="14">
      <x:c r="A14" s="2" t="str">
        <x:v>conflict-ntl-workflow</x:v>
      </x:c>
      <x:c r="B14" s="2" t="str">
        <x:v>repository skill; not role-loaded</x:v>
      </x:c>
      <x:c r="C14" s="7" t="str"/>
      <x:c r="D14" s="2" t="str">
        <x:v>No</x:v>
      </x:c>
      <x:c r="E14" s="7" t="str">
        <x:v>Use for conflict, war, strike, outage, infrastructure attack, refinery, port, airport, power-grid, thermal-anomaly, or other conflict-related event chains that need nighttime-light verification. This skill is not wired into OpenClaw routing by itself.</x:v>
      </x:c>
      <x:c r="F14" s="7" t="str">
        <x:v>Manually used in the Codex-subagent conflict case evidence; not auto-loaded by current role_specs.py.</x:v>
      </x:c>
      <x:c r="G14" s="7" t="str">
        <x:v>.ntl-gpt/skills/conflict-ntl-workflow/SKILL.md</x:v>
      </x:c>
      <x:c r="H14" s="2" t="str">
        <x:v>561e3e8084086d99728ba3419665c290725a6682b0909343e6ee60b3fd216b55</x:v>
      </x:c>
    </x:row>
    <x:row r="15">
      <x:c r="A15" s="2" t="str">
        <x:v>analysis-ready-preprocessing</x:v>
      </x:c>
      <x:c r="B15" s="2" t="str">
        <x:v>role-loaded</x:v>
      </x:c>
      <x:c r="C15" s="7" t="str">
        <x:v>NTL Data Searcher</x:v>
      </x:c>
      <x:c r="D15" s="2" t="str">
        <x:v>Yes</x:v>
      </x:c>
      <x:c r="E15" s="7" t="str">
        <x:v>Apply accepted standard preprocessing and reusable fixed-formula features to produce a validated ObservationPackage.</x:v>
      </x:c>
      <x:c r="F15" s="7" t="str"/>
      <x:c r="G15" s="7" t="str">
        <x:v>.ntl-gpt/skills/data_searcher/analysis-ready-preprocessing/SKILL.md</x:v>
      </x:c>
      <x:c r="H15" s="2" t="str">
        <x:v>8f58b99973066aea88ee8645d70ac1507affbb0fc2d2f5f23442303323fdbf1d</x:v>
      </x:c>
    </x:row>
    <x:row r="16">
      <x:c r="A16" s="2" t="str">
        <x:v>dataset-and-product-selection</x:v>
      </x:c>
      <x:c r="B16" s="2" t="str">
        <x:v>role-loaded</x:v>
      </x:c>
      <x:c r="C16" s="7" t="str">
        <x:v>NTL Data Searcher</x:v>
      </x:c>
      <x:c r="D16" s="2" t="str">
        <x:v>Yes</x:v>
      </x:c>
      <x:c r="E16" s="7" t="str">
        <x:v>Select and validate the nighttime-light or auxiliary product, band, resolution, and source required by an accepted assignment.</x:v>
      </x:c>
      <x:c r="F16" s="7" t="str"/>
      <x:c r="G16" s="7" t="str">
        <x:v>.ntl-gpt/skills/data_searcher/dataset-and-product-selection/SKILL.md</x:v>
      </x:c>
      <x:c r="H16" s="2" t="str">
        <x:v>b12da0bdccc0146ed6a409f311dd6be431e903c0c2c412618ed442973905ab3d</x:v>
      </x:c>
    </x:row>
    <x:row r="17">
      <x:c r="A17" s="2" t="str">
        <x:v>gee-earthdata-acquisition</x:v>
      </x:c>
      <x:c r="B17" s="2" t="str">
        <x:v>role-loaded</x:v>
      </x:c>
      <x:c r="C17" s="7" t="str">
        <x:v>NTL Data Searcher</x:v>
      </x:c>
      <x:c r="D17" s="2" t="str">
        <x:v>Yes</x:v>
      </x:c>
      <x:c r="E17" s="7" t="str">
        <x:v>Execute validated Google Earth Engine, Earthdata, LAADS, CMR, direct-download, or batch-export acquisition plans.</x:v>
      </x:c>
      <x:c r="F17" s="7" t="str"/>
      <x:c r="G17" s="7" t="str">
        <x:v>.ntl-gpt/skills/data_searcher/gee-earthdata-acquisition/SKILL.md</x:v>
      </x:c>
      <x:c r="H17" s="2" t="str">
        <x:v>8c3277b8c4a6dfeaf1daa8d0cf57c8630e0933190d344109837ac4dad266a697</x:v>
      </x:c>
    </x:row>
    <x:row r="18">
      <x:c r="A18" s="2" t="str">
        <x:v>latest-observation-availability</x:v>
      </x:c>
      <x:c r="B18" s="2" t="str">
        <x:v>role-loaded</x:v>
      </x:c>
      <x:c r="C18" s="7" t="str">
        <x:v>NTL Data Searcher</x:v>
      </x:c>
      <x:c r="D18" s="2" t="str">
        <x:v>Yes</x:v>
      </x:c>
      <x:c r="E18" s="7" t="str">
        <x:v>Resolve the latest quality-eligible observation as of the benchmark or task cutoff without using future information.</x:v>
      </x:c>
      <x:c r="F18" s="7" t="str"/>
      <x:c r="G18" s="7" t="str">
        <x:v>.ntl-gpt/skills/data_searcher/latest-observation-availability/SKILL.md</x:v>
      </x:c>
      <x:c r="H18" s="2" t="str">
        <x:v>3db4a1c30401223f4ac0db1d77f78efce1bc7eecc23233cad9bc8b80948c3a23</x:v>
      </x:c>
    </x:row>
    <x:row r="19">
      <x:c r="A19" s="2" t="str">
        <x:v>temporal-and-aoi-resolution</x:v>
      </x:c>
      <x:c r="B19" s="2" t="str">
        <x:v>role-loaded</x:v>
      </x:c>
      <x:c r="C19" s="7" t="str">
        <x:v>NTL Data Searcher</x:v>
      </x:c>
      <x:c r="D19" s="2" t="str">
        <x:v>Yes</x:v>
      </x:c>
      <x:c r="E19" s="7" t="str">
        <x:v>Resolve AOI, timezone, local-night and UTC product dates, boundary provenance, and spatial support for observation preparation.</x:v>
      </x:c>
      <x:c r="F19" s="7" t="str"/>
      <x:c r="G19" s="7" t="str">
        <x:v>.ntl-gpt/skills/data_searcher/temporal-and-aoi-resolution/SKILL.md</x:v>
      </x:c>
      <x:c r="H19" s="2" t="str">
        <x:v>73af3e4cfaf6be1b7b0ffdc6df43cb77f73ad4d6e41e6bce58885f132cefa34e</x:v>
      </x:c>
    </x:row>
    <x:row r="20">
      <x:c r="A20" s="2" t="str">
        <x:v>evidence-synthesis</x:v>
      </x:c>
      <x:c r="B20" s="2" t="str">
        <x:v>role-loaded</x:v>
      </x:c>
      <x:c r="C20" s="7" t="str">
        <x:v>NTL Engineer</x:v>
      </x:c>
      <x:c r="D20" s="2" t="str">
        <x:v>Yes</x:v>
      </x:c>
      <x:c r="E20" s="7" t="str">
        <x:v>Let NTL_Engineer synthesize accepted packages into a bounded final EvidenceReport without claiming independent verification.</x:v>
      </x:c>
      <x:c r="F20" s="7" t="str"/>
      <x:c r="G20" s="7" t="str">
        <x:v>.ntl-gpt/skills/engineer/evidence-synthesis/SKILL.md</x:v>
      </x:c>
      <x:c r="H20" s="2" t="str">
        <x:v>d494987d360bd10420fe5745cf05049af4012d6f45372fae5a92b581e2f35f50</x:v>
      </x:c>
    </x:row>
    <x:row r="21">
      <x:c r="A21" s="2" t="str">
        <x:v>handoff-acceptance</x:v>
      </x:c>
      <x:c r="B21" s="2" t="str">
        <x:v>role-loaded</x:v>
      </x:c>
      <x:c r="C21" s="7" t="str">
        <x:v>NTL Engineer</x:v>
      </x:c>
      <x:c r="D21" s="2" t="str">
        <x:v>Yes</x:v>
      </x:c>
      <x:c r="E21" s="7" t="str">
        <x:v>Let NTL_Engineer validate a specialist's normal task result and typed scientific package against TaskPlan acceptance criteria.</x:v>
      </x:c>
      <x:c r="F21" s="7" t="str"/>
      <x:c r="G21" s="7" t="str">
        <x:v>.ntl-gpt/skills/engineer/handoff-acceptance/SKILL.md</x:v>
      </x:c>
      <x:c r="H21" s="2" t="str">
        <x:v>3d22743373c13199b150676501658b60babf7ef5365e167158bc477f29b1acc8</x:v>
      </x:c>
    </x:row>
    <x:row r="22">
      <x:c r="A22" s="2" t="str">
        <x:v>task-planning-and-routing</x:v>
      </x:c>
      <x:c r="B22" s="2" t="str">
        <x:v>role-loaded</x:v>
      </x:c>
      <x:c r="C22" s="7" t="str">
        <x:v>NTL Engineer</x:v>
      </x:c>
      <x:c r="D22" s="2" t="str">
        <x:v>Yes</x:v>
      </x:c>
      <x:c r="E22" s="7" t="str">
        <x:v>Let NTL_Engineer create a typed TaskPlan and choose direct, observation, analysis, or event-context routes without over-delegation.</x:v>
      </x:c>
      <x:c r="F22" s="7" t="str"/>
      <x:c r="G22" s="7" t="str">
        <x:v>.ntl-gpt/skills/engineer/task-planning-and-routing/SKILL.md</x:v>
      </x:c>
      <x:c r="H22" s="2" t="str">
        <x:v>49ba010d39b288d0ba8290f0b88a6e57115f1c254cacf0046e236c26d208c331</x:v>
      </x:c>
    </x:row>
    <x:row r="23">
      <x:c r="A23" s="2" t="str">
        <x:v>conflict-event-context</x:v>
      </x:c>
      <x:c r="B23" s="2" t="str">
        <x:v>role-loaded</x:v>
      </x:c>
      <x:c r="C23" s="7" t="str">
        <x:v>NTL Event Tracker</x:v>
      </x:c>
      <x:c r="D23" s="2" t="str">
        <x:v>Yes</x:v>
      </x:c>
      <x:c r="E23" s="7" t="str">
        <x:v>Build a traceable, source-bounded conflict-event context without converting reports into verified damage or attribution claims.</x:v>
      </x:c>
      <x:c r="F23" s="7" t="str"/>
      <x:c r="G23" s="7" t="str">
        <x:v>.ntl-gpt/skills/event_tracker/conflict-event-context/SKILL.md</x:v>
      </x:c>
      <x:c r="H23" s="2" t="str">
        <x:v>af1510edf1402fe41c0c931add742259b171280799d81eb0ee214ce0288c0a84</x:v>
      </x:c>
    </x:row>
    <x:row r="24">
      <x:c r="A24" s="2" t="str">
        <x:v>disaster-event-context</x:v>
      </x:c>
      <x:c r="B24" s="2" t="str">
        <x:v>role-loaded</x:v>
      </x:c>
      <x:c r="C24" s="7" t="str">
        <x:v>NTL Event Tracker</x:v>
      </x:c>
      <x:c r="D24" s="2" t="str">
        <x:v>Yes</x:v>
      </x:c>
      <x:c r="E24" s="7" t="str">
        <x:v>Build source-bounded disaster, outage, accident, and recovery context as of an explicit cutoff for downstream observation planning.</x:v>
      </x:c>
      <x:c r="F24" s="7" t="str"/>
      <x:c r="G24" s="7" t="str">
        <x:v>.ntl-gpt/skills/event_tracker/disaster-event-context/SKILL.md</x:v>
      </x:c>
      <x:c r="H24" s="2" t="str">
        <x:v>45bcbed2b6ed2f3d829681178c66be1ed5c12e1b126c28a22131e4aff5615d3f</x:v>
      </x:c>
    </x:row>
    <x:row r="25">
      <x:c r="A25" s="2" t="str">
        <x:v>source-conflict-and-timeline</x:v>
      </x:c>
      <x:c r="B25" s="2" t="str">
        <x:v>role-loaded</x:v>
      </x:c>
      <x:c r="C25" s="7" t="str">
        <x:v>NTL Event Tracker</x:v>
      </x:c>
      <x:c r="D25" s="2" t="str">
        <x:v>Yes</x:v>
      </x:c>
      <x:c r="E25" s="7" t="str">
        <x:v>Normalize event records, deduplicate reports, reconstruct an as-of timeline, and preserve unresolved source conflicts.</x:v>
      </x:c>
      <x:c r="F25" s="7" t="str"/>
      <x:c r="G25" s="7" t="str">
        <x:v>.ntl-gpt/skills/event_tracker/source-conflict-and-timeline/SKILL.md</x:v>
      </x:c>
      <x:c r="H25" s="2" t="str">
        <x:v>e029bdd23d8e16eb0b20af36f9ffbdc4cabba3e103a3f3f6abcad8b89528a3cb</x:v>
      </x:c>
    </x:row>
    <x:row r="26">
      <x:c r="A26" s="2" t="str">
        <x:v>gee-dataset-selection</x:v>
      </x:c>
      <x:c r="B26" s="2" t="str">
        <x:v>repository skill; not role-loaded</x:v>
      </x:c>
      <x:c r="C26" s="7" t="str"/>
      <x:c r="D26" s="2" t="str">
        <x:v>No</x:v>
      </x:c>
      <x:c r="E26" s="7" t="str">
        <x:v>Use when choosing Earth Engine datasets, bands, date ranges, scale, reducers, or auxiliary data for NTL-GPT tasks; includes curated NTL, boundary, population, vegetation, land-cover, DEM, and event-context dataset metadata and selection rules.</x:v>
      </x:c>
      <x:c r="F26" s="7" t="str"/>
      <x:c r="G26" s="7" t="str">
        <x:v>.ntl-gpt/skills/gee-dataset-selection/SKILL.md</x:v>
      </x:c>
      <x:c r="H26" s="2" t="str">
        <x:v>71734ba66c964b863f629d2dee84eafda620571c4f30b33606cb7a0b484b3dbf</x:v>
      </x:c>
    </x:row>
    <x:row r="27">
      <x:c r="A27" s="2" t="str">
        <x:v>gee-ntl-date-boundary-handling</x:v>
      </x:c>
      <x:c r="B27" s="2" t="str">
        <x:v>role-loaded</x:v>
      </x:c>
      <x:c r="C27" s="7" t="str">
        <x:v>NTL Engineer, NTL Data Searcher</x:v>
      </x:c>
      <x:c r="D27" s="2" t="str">
        <x:v>Yes</x:v>
      </x:c>
      <x:c r="E27" s="7" t="str">
        <x:v>Use for daily/event NTL timing and AOI handling: VIIRS first-night selection, filterDate end-exclusive windows, timezone conversion, event buffers, and no-data guards.</x:v>
      </x:c>
      <x:c r="F27" s="7" t="str">
        <x:v>Shared runtime Skill used for event/local-night and UTC product-date handling.</x:v>
      </x:c>
      <x:c r="G27" s="7" t="str">
        <x:v>.ntl-gpt/skills/gee-ntl-date-boundary-handling/SKILL.md</x:v>
      </x:c>
      <x:c r="H27" s="2" t="str">
        <x:v>1d49a25eb9729fba7b5b3a4dab99e25d56ac4da69d25681d9a1490b7838b06f4</x:v>
      </x:c>
    </x:row>
    <x:row r="28">
      <x:c r="A28" s="2" t="str">
        <x:v>gee-python-server-side-workflow</x:v>
      </x:c>
      <x:c r="B28" s="2" t="str">
        <x:v>repository skill; not role-loaded</x:v>
      </x:c>
      <x:c r="C28" s="7" t="str"/>
      <x:c r="D28" s="2" t="str">
        <x:v>No</x:v>
      </x:c>
      <x:c r="E28" s="7" t="str">
        <x:v>Use when writing or validating GEE Python scripts for NTL analysis, especially server-side zonal statistics, country/multi-province summaries, long time series, event impact, reduceRegion/reduceRegions, and export/table outputs.</x:v>
      </x:c>
      <x:c r="F28" s="7" t="str"/>
      <x:c r="G28" s="7" t="str">
        <x:v>.ntl-gpt/skills/gee-python-server-side-workflow/SKILL.md</x:v>
      </x:c>
      <x:c r="H28" s="2" t="str">
        <x:v>eccd2207bb6511253c7de3bbc23729243aaaa9708ecd9c3d951be8ebd0ec740f</x:v>
      </x:c>
    </x:row>
    <x:row r="29">
      <x:c r="A29" s="2" t="str">
        <x:v>gee-routing-blueprint-strategy</x:v>
      </x:c>
      <x:c r="B29" s="2" t="str">
        <x:v>repository skill; not role-loaded</x:v>
      </x:c>
      <x:c r="C29" s="7" t="str"/>
      <x:c r="D29" s="2" t="str">
        <x:v>No</x:v>
      </x:c>
      <x:c r="E29" s="7" t="str">
        <x:v>Use for unified NTL/general-GEE planning, validated direct download, server reduction, batch export, official Earthdata routing, and execution failure semantics.</x:v>
      </x:c>
      <x:c r="F29" s="7" t="str"/>
      <x:c r="G29" s="7" t="str">
        <x:v>.ntl-gpt/skills/gee-routing-blueprint-strategy/SKILL.md</x:v>
      </x:c>
      <x:c r="H29" s="2" t="str">
        <x:v>948e80b30ea8f3fcc2d90e789dd593612da74c8f62b1494eb6c2c0f54d65fe6a</x:v>
      </x:c>
    </x:row>
    <x:row r="30">
      <x:c r="A30" s="2" t="str">
        <x:v>geospatial-visualization-cjk</x:v>
      </x:c>
      <x:c r="B30" s="2" t="str">
        <x:v>repository skill; not role-loaded</x:v>
      </x:c>
      <x:c r="C30" s="7" t="str"/>
      <x:c r="D30" s="2" t="str">
        <x:v>No</x:v>
      </x:c>
      <x:c r="E30" s="7" t="str">
        <x:v>Use when generating PNG/JPG charts or maps, especially when labels may contain Chinese text or mixed English/Chinese names.</x:v>
      </x:c>
      <x:c r="F30" s="7" t="str"/>
      <x:c r="G30" s="7" t="str">
        <x:v>.ntl-gpt/skills/geospatial-visualization-cjk/SKILL.md</x:v>
      </x:c>
      <x:c r="H30" s="2" t="str">
        <x:v>660bc23647254377119909192b425754a69fae4c1651e7e15165526ea5d6aac1</x:v>
      </x:c>
    </x:row>
    <x:row r="31">
      <x:c r="A31" s="2" t="str">
        <x:v>ntl-capability-routing</x:v>
      </x:c>
      <x:c r="B31" s="2" t="str">
        <x:v>repository skill; not role-loaded</x:v>
      </x:c>
      <x:c r="C31" s="7" t="str"/>
      <x:c r="D31" s="2" t="str">
        <x:v>No</x:v>
      </x:c>
      <x:c r="E31" s="7" t="str">
        <x:v>Choose the lean NTL-GPT capability path before selecting tools. Use for tool pressure reduction, agent delegation, national-scale statistics, GEE routing, local-file analysis, and specialty NTL workflows.</x:v>
      </x:c>
      <x:c r="F31" s="7" t="str"/>
      <x:c r="G31" s="7" t="str">
        <x:v>.ntl-gpt/skills/ntl-capability-routing/SKILL.md</x:v>
      </x:c>
      <x:c r="H31" s="2" t="str">
        <x:v>9a347c321152399ffdc13906f703e84ab01da9c8555883a90ff4fe9438fe5eaa</x:v>
      </x:c>
    </x:row>
    <x:row r="32">
      <x:c r="A32" s="2" t="str">
        <x:v>ntl-gdp-regression-analysis</x:v>
      </x:c>
      <x:c r="B32" s="2" t="str">
        <x:v>repository skill; not role-loaded</x:v>
      </x:c>
      <x:c r="C32" s="7" t="str"/>
      <x:c r="D32" s="2" t="str">
        <x:v>No</x:v>
      </x:c>
      <x:c r="E32" s="7" t="str">
        <x:v>Use when performing ANTL-GDP modeling with multi-year data, model comparison, diagnostics, and final indicator estimation outputs.</x:v>
      </x:c>
      <x:c r="F32" s="7" t="str"/>
      <x:c r="G32" s="7" t="str">
        <x:v>.ntl-gpt/skills/ntl-gdp-regression-analysis/SKILL.md</x:v>
      </x:c>
      <x:c r="H32" s="2" t="str">
        <x:v>33772483b605a88311d368c971c26811ea47cc4a42f68e8dfc3c9b1de77358a3</x:v>
      </x:c>
    </x:row>
    <x:row r="33">
      <x:c r="A33" s="2" t="str">
        <x:v>ntl-regression-evaluation</x:v>
      </x:c>
      <x:c r="B33" s="2" t="str">
        <x:v>repository skill; not role-loaded</x:v>
      </x:c>
      <x:c r="C33" s="7" t="str"/>
      <x:c r="D33" s="2" t="str">
        <x:v>No</x:v>
      </x:c>
      <x:c r="E33" s="7" t="str">
        <x:v>Use after changing NTL-GPT skills, prompts, GEE routing, dataset selection, date handling, or execution tools; provides regression scenarios that catch known routing, dataset, first-night, file-management, and server-side computation failures.</x:v>
      </x:c>
      <x:c r="F33" s="7" t="str"/>
      <x:c r="G33" s="7" t="str">
        <x:v>.ntl-gpt/skills/ntl-regression-evaluation/SKILL.md</x:v>
      </x:c>
      <x:c r="H33" s="2" t="str">
        <x:v>0bf8402dacb4c3176a641af72d3774ba56938b2863c733a5ad14a55ad3f7e2b5</x:v>
      </x:c>
    </x:row>
    <x:row r="34">
      <x:c r="A34" s="2" t="str">
        <x:v>ntl-workflow-guidance</x:v>
      </x:c>
      <x:c r="B34" s="2" t="str">
        <x:v>repository skill; not role-loaded</x:v>
      </x:c>
      <x:c r="C34" s="7" t="str"/>
      <x:c r="D34" s="2" t="str">
        <x:v>No</x:v>
      </x:c>
      <x:c r="E34" s="7" t="str">
        <x:v>Preferred workflow-selection skill for NTL-GPT tasks. Use first for NTL retrieval, statistics, trend, event impact, urban extraction, regression/indicator, and validation workflows before calling the supplemental NTL_Knowledge_Base tool.</x:v>
      </x:c>
      <x:c r="F34" s="7" t="str"/>
      <x:c r="G34" s="7" t="str">
        <x:v>.ntl-gpt/skills/NTL-workflow-guidance/SKILL.md</x:v>
      </x:c>
      <x:c r="H34" s="2" t="str">
        <x:v>4f2f67de6a05f890baaa846d2d314ae77ce466638f84d15520d1ffa85d6bd425</x:v>
      </x:c>
    </x:row>
    <x:row r="35">
      <x:c r="A35" s="2" t="str">
        <x:v>vnp46a2-official-h5-country-mosaic</x:v>
      </x:c>
      <x:c r="B35" s="2" t="str">
        <x:v>repository skill; not role-loaded</x:v>
      </x:c>
      <x:c r="C35" s="7" t="str"/>
      <x:c r="D35" s="2" t="str">
        <x:v>No</x:v>
      </x:c>
      <x:c r="E35" s="7" t="str">
        <x:v>Use when a user explicitly needs audited, country-scale, daily non-gap-filled VNP46A2 GeoTIFFs from official NASA Earthdata HDF5 granules.</x:v>
      </x:c>
      <x:c r="F35" s="7" t="str"/>
      <x:c r="G35" s="7" t="str">
        <x:v>.ntl-gpt/skills/vnp46a2-official-h5-country-mosaic/SKILL.md</x:v>
      </x:c>
      <x:c r="H35" s="2" t="str">
        <x:v>10fa2b26cd469379c30217a393509c358a259cea440ce487b718586137389577</x:v>
      </x:c>
    </x:row>
    <x:row r="36">
      <x:c r="A36" s="2" t="str">
        <x:v>workflow-self-evolution</x:v>
      </x:c>
      <x:c r="B36" s="2" t="str">
        <x:v>repository skill; not role-loaded</x:v>
      </x:c>
      <x:c r="C36" s="7" t="str"/>
      <x:c r="D36" s="2" t="str">
        <x:v>No</x:v>
      </x:c>
      <x:c r="E36" s="7" t="str">
        <x:v>Use after an NTL task finishes and the user explicitly agrees to record learning. Provides a conservative, file-based protocol for failure classification, candidate logging, and workflow updates without fake imports or automatic mutation.</x:v>
      </x:c>
      <x:c r="F36" s="7" t="str"/>
      <x:c r="G36" s="7" t="str">
        <x:v>.ntl-gpt/skills/workflow-self-evolution/SKILL.md</x:v>
      </x:c>
      <x:c r="H36" s="2" t="str">
        <x:v>21819576ccddbf6e6140efbd3c71f6e0dbfe4d4e3af086bdbd4ae82081e721ec</x:v>
      </x:c>
    </x:row>
  </x:sheetData>
  <x:pageMargins left="0.7" right="0.7" top="0.75" bottom="0.75" header="0.3" footer="0.3"/>
  <x:tableParts count="1">
    <x:tablePart xmlns:r="http://schemas.openxmlformats.org/officeDocument/2006/relationships" r:id="Re35d993bc5db49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6299991607666" hidden="0" customWidth="1"/>
    <x:col min="2" max="2" width="30.6299991607666" hidden="0" customWidth="1"/>
    <x:col min="3" max="3" width="27.5" hidden="0" customWidth="1"/>
    <x:col min="4" max="4" width="11.25" hidden="0" customWidth="1"/>
    <x:col min="5" max="5" width="65" hidden="0" customWidth="1"/>
    <x:col min="6" max="6" width="23.75" hidden="0" customWidth="1"/>
    <x:col min="7" max="7" width="31.25" hidden="0" customWidth="1"/>
    <x:col min="8" max="8" width="45" hidden="0" customWidth="1"/>
  </x:cols>
  <x:sheetData>
    <x:row r="1" ht="27" customHeight="1">
      <x:c r="A1" s="6" t="str">
        <x:v>Tool export</x:v>
      </x:c>
      <x:c r="B1" s="6" t="str">
        <x:v>Runtime name</x:v>
      </x:c>
      <x:c r="C1" s="6" t="str">
        <x:v>Full roles</x:v>
      </x:c>
      <x:c r="D1" s="6" t="str">
        <x:v>Single-Agent</x:v>
      </x:c>
      <x:c r="E1" s="6" t="str">
        <x:v>Purpose</x:v>
      </x:c>
      <x:c r="F1" s="6" t="str">
        <x:v>Source module</x:v>
      </x:c>
      <x:c r="G1" s="6" t="str">
        <x:v>Source file</x:v>
      </x:c>
      <x:c r="H1" s="6" t="str">
        <x:v>SHA-256</x:v>
      </x:c>
    </x:row>
    <x:row r="2">
      <x:c r="A2" s="2" t="str">
        <x:v>NTL_composite_local_tool</x:v>
      </x:c>
      <x:c r="B2" s="2" t="str">
        <x:v>NTL_Mean_Composite</x:v>
      </x:c>
      <x:c r="C2" s="7" t="str">
        <x:v>NTL Data Searcher</x:v>
      </x:c>
      <x:c r="D2" s="2" t="str">
        <x:v>Yes</x:v>
      </x:c>
      <x:c r="E2" s="7" t="str">
        <x:v>Computes a pixel-wise temporal mean composite from a list of local GeoTIFFs (typically daily NTL data). It aggregates multiple rasters in the 'inputs/' folder to create a stable representative image in the 'outputs/' folder. Inputs must be spatially aligned (…</x:v>
      </x:c>
      <x:c r="F2" s="2" t="str">
        <x:v>.NTL_Composite</x:v>
      </x:c>
      <x:c r="G2" s="7" t="str">
        <x:v>tools/NTL_Composite.py</x:v>
      </x:c>
      <x:c r="H2" s="2" t="str">
        <x:v>0847a0c1bcd02e3c9ded4a8e0621cc552bf44960ac14e4a14a9448493f988f9c</x:v>
      </x:c>
    </x:row>
    <x:row r="3">
      <x:c r="A3" s="2" t="str">
        <x:v>SDGSAT1_strip_removal_tool</x:v>
      </x:c>
      <x:c r="B3" s="2" t="str">
        <x:v>SDGSAT-1_strip_removal_tool</x:v>
      </x:c>
      <x:c r="C3" s="7" t="str">
        <x:v>NTL Data Searcher</x:v>
      </x:c>
      <x:c r="D3" s="2" t="str">
        <x:v>Yes</x:v>
      </x:c>
      <x:c r="E3" s="7" t="str">
        <x:v>Remove striping noise from SDGSAT-1 GLI RGB imagery. This tool applies a destriping algorithm to correct periodic or systematic stripe artifacts commonly observed in SDGSAT-1 raw images. It should be used as the first step in the preprocessing workflow before…</x:v>
      </x:c>
      <x:c r="F3" s="2" t="str">
        <x:v>.NTL_preprocess</x:v>
      </x:c>
      <x:c r="G3" s="7" t="str">
        <x:v>tools/NTL_preprocess.py</x:v>
      </x:c>
      <x:c r="H3" s="2" t="str">
        <x:v>fd91c5e4960e58fc7ff2ceb5eb017dd108ad74d10d43b2eb0724ed98503a4e9a</x:v>
      </x:c>
    </x:row>
    <x:row r="4">
      <x:c r="A4" s="2" t="str">
        <x:v>SDGSAT1_radiometric_calibration_tool</x:v>
      </x:c>
      <x:c r="B4" s="2" t="str">
        <x:v>SDGSAT1_radiometric_calibration_tool</x:v>
      </x:c>
      <x:c r="C4" s="7" t="str">
        <x:v>NTL Data Searcher</x:v>
      </x:c>
      <x:c r="D4" s="2" t="str">
        <x:v>Yes</x:v>
      </x:c>
      <x:c r="E4" s="7" t="str">
        <x:v>Perform radiometric calibration on a destriped SDGSAT-1 GLI RGB image. This tool converts raw digital number (DN) values to top-of-atmosphere (TOA) radiance using sensor-specific calibration coefficients. It outputs a calibrated RGB GeoTIFF and a grayscale lu…</x:v>
      </x:c>
      <x:c r="F4" s="2" t="str">
        <x:v>.NTL_preprocess</x:v>
      </x:c>
      <x:c r="G4" s="7" t="str">
        <x:v>tools/NTL_preprocess.py</x:v>
      </x:c>
      <x:c r="H4" s="2" t="str">
        <x:v>fd91c5e4960e58fc7ff2ceb5eb017dd108ad74d10d43b2eb0724ed98503a4e9a</x:v>
      </x:c>
    </x:row>
    <x:row r="5">
      <x:c r="A5" s="2" t="str">
        <x:v>VNP46A2_angular_correction_tool</x:v>
      </x:c>
      <x:c r="B5" s="2" t="str">
        <x:v>VNP46A2_angular_correction_tool</x:v>
      </x:c>
      <x:c r="C5" s="7" t="str">
        <x:v>NTL Data Searcher</x:v>
      </x:c>
      <x:c r="D5" s="2" t="str">
        <x:v>Yes</x:v>
      </x:c>
      <x:c r="E5" s="7" t="str">
        <x:v>Apply the fixed-anchor 16-day group-mean angle-effect correction to a VNP46A2 daily series entirely in Google Earth Engine. The tool uses the direct BRDF-corrected radiance band with explicit Collection 2 QA and writes compact corrected daily statistics and m…</x:v>
      </x:c>
      <x:c r="F5" s="2" t="str">
        <x:v>.VNP46A2_angular_correction</x:v>
      </x:c>
      <x:c r="G5" s="7" t="str">
        <x:v>tools/VNP46A2_angular_correction.py</x:v>
      </x:c>
      <x:c r="H5" s="2" t="str">
        <x:v>e9aa5e0bf25209b2ffa0b3b4dd5eace8732329bd28357b9d2e666b89c7bdcc89</x:v>
      </x:c>
    </x:row>
    <x:row r="6">
      <x:c r="A6" s="2" t="str">
        <x:v>VNP46A2_seasonal_adjustment_tool</x:v>
      </x:c>
      <x:c r="B6" s="2" t="str">
        <x:v>VNP46A2_seasonal_adjustment_tool</x:v>
      </x:c>
      <x:c r="C6" s="7" t="str">
        <x:v>NTL Analyst</x:v>
      </x:c>
      <x:c r="D6" s="2" t="str">
        <x:v>Yes</x:v>
      </x:c>
      <x:c r="E6" s="7" t="str">
        <x:v>Apply a deterministic annual seasonal adjustment to a daily VNP46A2 ANTL CSV. The method follows Li et al. (2022), Eq. 1: one annual harmonic (period 365.25) plus a linear trend, fitted with two-pass OLS/MAD outlier handling. It creates a complete calendar, a…</x:v>
      </x:c>
      <x:c r="F6" s="2" t="str">
        <x:v>.NTL_seasonal_adjustment</x:v>
      </x:c>
      <x:c r="G6" s="7" t="str">
        <x:v>tools/NTL_seasonal_adjustment.py</x:v>
      </x:c>
      <x:c r="H6" s="2" t="str">
        <x:v>0c2fccd3edc6d6896041ac6a87f221c6088bbd40873a7dbc72339cefeee355c3</x:v>
      </x:c>
    </x:row>
    <x:row r="7">
      <x:c r="A7" s="2" t="str">
        <x:v>VNP46A2_persistence_classification_tool</x:v>
      </x:c>
      <x:c r="B7" s="2" t="str">
        <x:v>VNP46A2_persistence_classification_tool</x:v>
      </x:c>
      <x:c r="C7" s="7" t="str">
        <x:v>NTL Analyst</x:v>
      </x:c>
      <x:c r="D7" s="2" t="str">
        <x:v>Yes</x:v>
      </x:c>
      <x:c r="E7" s="7" t="str">
        <x:v>Classify an exactly 30-night VNP46A2 radiance stack with a matching QA-valid stack. The frozen rule uses radiance &gt; 0, requires 24 valid observations, assigns uncertain first, and writes lit-count, class, uncertainty, and auditable summary artifacts without a…</x:v>
      </x:c>
      <x:c r="F7" s="2" t="str">
        <x:v>.VNP46A2_persistence</x:v>
      </x:c>
      <x:c r="G7" s="7" t="str">
        <x:v>tools/VNP46A2_persistence.py</x:v>
      </x:c>
      <x:c r="H7" s="2" t="str">
        <x:v>38704de0dd72a731306a029a3a6e9088bba1ef756e426ae7d9b87c79820f7216</x:v>
      </x:c>
    </x:row>
    <x:row r="8">
      <x:c r="A8" s="2" t="str">
        <x:v>dmsp_viirs_harmonization_tool</x:v>
      </x:c>
      <x:c r="B8" s="2" t="str">
        <x:v>DMSP_VIIRS_Harmonization</x:v>
      </x:c>
      <x:c r="C8" s="7" t="str">
        <x:v>NTL Analyst</x:v>
      </x:c>
      <x:c r="D8" s="2" t="str">
        <x:v>Yes</x:v>
      </x:c>
      <x:c r="E8" s="7" t="str">
        <x:v>Convert historical annual DMSP-OLS rasters into a comparable VIIRS-like series using a deterministic degree-3 polynomial fitted on a supplied DMSP/VIIRS overlap year. DMSP is aligned to the VIIRS overlap grid; historical DMSP years are transformed, while obse…</x:v>
      </x:c>
      <x:c r="F8" s="2" t="str">
        <x:v>.NTL_cross_sensor_harmonization</x:v>
      </x:c>
      <x:c r="G8" s="7" t="str">
        <x:v>tools/NTL_cross_sensor_harmonization.py</x:v>
      </x:c>
      <x:c r="H8" s="2" t="str">
        <x:v>90ee74010060a9b9adaadabe45cef240fb093fa951aae109e54f1bb92cf6495e</x:v>
      </x:c>
    </x:row>
    <x:row r="9">
      <x:c r="A9" s="2" t="str">
        <x:v>dmsp_evi_preprocess_tool</x:v>
      </x:c>
      <x:c r="B9" s="2" t="str">
        <x:v>DMSP_Preprocess</x:v>
      </x:c>
      <x:c r="C9" s="7" t="str">
        <x:v>NTL Data Searcher</x:v>
      </x:c>
      <x:c r="D9" s="2" t="str">
        <x:v>Yes</x:v>
      </x:c>
      <x:c r="E9" s="7" t="str">
        <x:v>Applies EANTLI preprocessing to DMSP nighttime light (NTL) and annual EVI raster imagery. Based on the transformation: EANTLI = [(1 + (nNTL - EVI)) / (1 - (nNTL - EVI))] * NTL, where nNTL is stable-lights DN/63 and scaled EVI below 0.01 is excluded. Inputs mu…</x:v>
      </x:c>
      <x:c r="F9" s="2" t="str">
        <x:v>.NTL_preprocess</x:v>
      </x:c>
      <x:c r="G9" s="7" t="str">
        <x:v>tools/NTL_preprocess.py</x:v>
      </x:c>
      <x:c r="H9" s="2" t="str">
        <x:v>fd91c5e4960e58fc7ff2ceb5eb017dd108ad74d10d43b2eb0724ed98503a4e9a</x:v>
      </x:c>
    </x:row>
    <x:row r="10">
      <x:c r="A10" s="2" t="str">
        <x:v>SDGSAT1_index_tool</x:v>
      </x:c>
      <x:c r="B10" s="2" t="str">
        <x:v>SDGSAT1_compute_index</x:v>
      </x:c>
      <x:c r="C10" s="7" t="str">
        <x:v>NTL Data Searcher, NTL Analyst</x:v>
      </x:c>
      <x:c r="D10" s="2" t="str">
        <x:v>Yes</x:v>
      </x:c>
      <x:c r="E10" s="7" t="str">
        <x:v>Compute a spectral index (RBLI, RRLI, NDIBG, or NDIGR) from a calibrated SDGSAT-1 RGB radiance image in your 'inputs/' folder. For named SDGSAT-1 light indices, use this tool rather than recreating a ratio in generic code: RRLI is Red/Green and RBLI is Blue/G…</x:v>
      </x:c>
      <x:c r="F10" s="2" t="str">
        <x:v>.SDGSAT1_INDEX</x:v>
      </x:c>
      <x:c r="G10" s="7" t="str">
        <x:v>tools/SDGSAT1_INDEX.py</x:v>
      </x:c>
      <x:c r="H10" s="2" t="str">
        <x:v>57c69c68ba8189e2548a089b8cf068b2d83551f051b7b51b845037b26bba4999</x:v>
      </x:c>
    </x:row>
    <x:row r="11">
      <x:c r="A11" s="2" t="str">
        <x:v>SDGSAT1_jia_light_classification_tool</x:v>
      </x:c>
      <x:c r="B11" s="2" t="str">
        <x:v>SDGSAT1_jia_light_classification</x:v>
      </x:c>
      <x:c r="C11" s="7" t="str">
        <x:v>NTL Analyst</x:v>
      </x:c>
      <x:c r="D11" s="2" t="str">
        <x:v>Yes</x:v>
      </x:c>
      <x:c r="E11" s="7" t="str">
        <x:v>Compute RRLI (Red/Green), RBLI (Blue/Green), and the fixed Jia et al. (2024) SDGSAT-1 light-source classification from one calibrated RGB radiance GeoTIFF. This is the dedicated method for a request that names Jia et al. light classification: RLED if RRLI &gt; 9…</x:v>
      </x:c>
      <x:c r="F11" s="2" t="str">
        <x:v>.SDGSAT1_INDEX</x:v>
      </x:c>
      <x:c r="G11" s="7" t="str">
        <x:v>tools/SDGSAT1_INDEX.py</x:v>
      </x:c>
      <x:c r="H11" s="2" t="str">
        <x:v>57c69c68ba8189e2548a089b8cf068b2d83551f051b7b51b845037b26bba4999</x:v>
      </x:c>
    </x:row>
    <x:row r="12">
      <x:c r="A12" s="2" t="str">
        <x:v>vnci_index_tool</x:v>
      </x:c>
      <x:c r="B12" s="2" t="str">
        <x:v>VNCI_Compute</x:v>
      </x:c>
      <x:c r="C12" s="7" t="str">
        <x:v>NTL Data Searcher</x:v>
      </x:c>
      <x:c r="D12" s="2" t="str">
        <x:v>Yes</x:v>
      </x:c>
      <x:c r="E12" s="7" t="str">
        <x:v>This tool computes the Vegetation Nighttime Condition Index (VNCI) using NDVI and NTL imagery. VNCI evaluates relationships between vegetation health and nighttime light conditions using triangular feature space geometry. The result is saved as a GeoTIFF in y…</x:v>
      </x:c>
      <x:c r="F12" s="2" t="str">
        <x:v>.NPP_viirs_index_tool</x:v>
      </x:c>
      <x:c r="G12" s="7" t="str">
        <x:v>tools/NPP_viirs_index_tool.py</x:v>
      </x:c>
      <x:c r="H12" s="2" t="str">
        <x:v>e656e0010e8680f32dcdbf686d0649026a70d33708cfd0284827b2c2264e1ad8</x:v>
      </x:c>
    </x:row>
    <x:row r="13">
      <x:c r="A13" s="2" t="str">
        <x:v>urban_extraction_by_thresholding_tool</x:v>
      </x:c>
      <x:c r="B13" s="2" t="str">
        <x:v>Extract_Urban_Area_by_Thresholding</x:v>
      </x:c>
      <x:c r="C13" s="7" t="str">
        <x:v>NTL Analyst</x:v>
      </x:c>
      <x:c r="D13" s="2" t="str">
        <x:v>Yes</x:v>
      </x:c>
      <x:c r="E13" s="7" t="str">
        <x:v>Extracts a thresholded built-up-area mask from a nighttime-light GeoTIFF. Supply `threshold` for a reproducible rule (valid NTL &gt;= threshold); omit it only when the legacy perimeter change-point threshold is intended. An optional polygon AOI uses pixel-centre…</x:v>
      </x:c>
      <x:c r="F13" s="2" t="str">
        <x:v>.NTL_urban_structure_extract</x:v>
      </x:c>
      <x:c r="G13" s="7" t="str">
        <x:v>tools/NTL_urban_structure_extract.py</x:v>
      </x:c>
      <x:c r="H13" s="2" t="str">
        <x:v>7fb3bd8da73a22e7cb29e40b747e9e520ea664df30fdeb2950f07564641ffab8</x:v>
      </x:c>
    </x:row>
    <x:row r="14">
      <x:c r="A14" s="2" t="str">
        <x:v>svm_urban_extraction_tool</x:v>
      </x:c>
      <x:c r="B14" s="2" t="str">
        <x:v>Detect_Urban_Area_by_SVM</x:v>
      </x:c>
      <x:c r="C14" s="7" t="str">
        <x:v>NTL Analyst</x:v>
      </x:c>
      <x:c r="D14" s="2" t="str">
        <x:v>Yes</x:v>
      </x:c>
      <x:c r="E14" s="7" t="str">
        <x:v>Extracts urban built-up areas from nighttime light (NTL) imagery using a pre-trained Support Vector Machine (SVM) classifier. The tool applies machine learning to differentiate urban from non-urban pixels based on intensity scaling. Ideal for high-accuracy ur…</x:v>
      </x:c>
      <x:c r="F14" s="2" t="str">
        <x:v>.NTL_urban_structure_extract</x:v>
      </x:c>
      <x:c r="G14" s="7" t="str">
        <x:v>tools/NTL_urban_structure_extract.py</x:v>
      </x:c>
      <x:c r="H14" s="2" t="str">
        <x:v>7fb3bd8da73a22e7cb29e40b747e9e520ea664df30fdeb2950f07564641ffab8</x:v>
      </x:c>
    </x:row>
    <x:row r="15">
      <x:c r="A15" s="2" t="str">
        <x:v>electrified_detection_tool</x:v>
      </x:c>
      <x:c r="B15" s="2" t="str">
        <x:v>Detect_Electrified_Areas_by_Thresholding</x:v>
      </x:c>
      <x:c r="C15" s="7" t="str">
        <x:v>NTL Analyst</x:v>
      </x:c>
      <x:c r="D15" s="2" t="str">
        <x:v>Yes</x:v>
      </x:c>
      <x:c r="E15" s="7" t="str">
        <x:v>Estimate a nighttime-light-detectable electricity-access population proxy. It derives the Liu et al. (2024) midpoint threshold from a frozen 0/1 calibration-sample raster, classifies valid NTL pixels, transfers the mask to a LandScan-style population grid wit…</x:v>
      </x:c>
      <x:c r="F15" s="2" t="str">
        <x:v>.electrified_detection</x:v>
      </x:c>
      <x:c r="G15" s="7" t="str">
        <x:v>tools/electrified_detection.py</x:v>
      </x:c>
      <x:c r="H15" s="2" t="str">
        <x:v>6dd565d6532ed6981f5ea35bc4e3f1bd7b62dfba27e28c442493262200f9043d</x:v>
      </x:c>
    </x:row>
    <x:row r="16">
      <x:c r="A16" s="2" t="str">
        <x:v>detect_urban_centres_tool</x:v>
      </x:c>
      <x:c r="B16" s="2" t="str">
        <x:v>Detect_Urban_Centres_and_Spatial_Structure</x:v>
      </x:c>
      <x:c r="C16" s="7" t="str">
        <x:v>NTL Analyst</x:v>
      </x:c>
      <x:c r="D16" s="2" t="str">
        <x:v>Yes</x:v>
      </x:c>
      <x:c r="E16" s="7" t="str">
        <x:v>An advanced geospatial analysis tool that identifies urban centers and their hierarchical relationships. It uses the localized NTL contour tree algorithm to distinguish between primary and sub-centers based on topological depth and radiance intensity. Ideal f…</x:v>
      </x:c>
      <x:c r="F16" s="2" t="str">
        <x:v>.NTL_urban_structure_extract</x:v>
      </x:c>
      <x:c r="G16" s="7" t="str">
        <x:v>tools/NTL_urban_structure_extract.py</x:v>
      </x:c>
      <x:c r="H16" s="2" t="str">
        <x:v>7fb3bd8da73a22e7cb29e40b747e9e520ea664df30fdeb2950f07564641ffab8</x:v>
      </x:c>
    </x:row>
    <x:row r="17">
      <x:c r="A17" s="2" t="str">
        <x:v>NTL_raster_statistics_tool</x:v>
      </x:c>
      <x:c r="B17" s="2" t="str">
        <x:v>NTL_raster_statistics</x:v>
      </x:c>
      <x:c r="C17" s="7" t="str">
        <x:v>NTL Analyst</x:v>
      </x:c>
      <x:c r="D17" s="2" t="str">
        <x:v>Yes</x:v>
      </x:c>
      <x:c r="E17" s="7" t="str">
        <x:v>Calculates NTL landscape metrics for one or multiple rasters over a boundary. Uses pixel-centre containment, excludes declared NoData/non-finite values while retaining valid zeroes, and reports WGS84-geodesic area metrics. Use `LArea` for lit area (km2), `3DP…</x:v>
      </x:c>
      <x:c r="F17" s="2" t="str">
        <x:v>.NTL_raster_stats</x:v>
      </x:c>
      <x:c r="G17" s="7" t="str">
        <x:v>tools/NTL_raster_stats.py</x:v>
      </x:c>
      <x:c r="H17" s="2" t="str">
        <x:v>2d5e11f3abc56232c67b47b24d58239378aba43a708d0c6c90a2fcb7d8f41d81</x:v>
      </x:c>
    </x:row>
    <x:row r="18">
      <x:c r="A18" s="2" t="str">
        <x:v>NTL_Daily_ANTL_Statistics</x:v>
      </x:c>
      <x:c r="B18" s="2" t="str">
        <x:v>NTL_daily_antl_statistics</x:v>
      </x:c>
      <x:c r="C18" s="7" t="str">
        <x:v>NTL Analyst</x:v>
      </x:c>
      <x:c r="D18" s="2" t="str">
        <x:v>Yes</x:v>
      </x:c>
      <x:c r="E18" s="7" t="str">
        <x:v>Calculates the average daily nighttime light (ANTL) intensity for a specified region and time period using GEE. This tool is ideal for long-term trend analysis, anomaly detection, or socio-economic impact studies. Input parameters include study_area (Chinese…</x:v>
      </x:c>
      <x:c r="F18" s="2" t="str">
        <x:v>.NTL_raster_stats_GEE</x:v>
      </x:c>
      <x:c r="G18" s="7" t="str">
        <x:v>tools/NTL_raster_stats_GEE.py</x:v>
      </x:c>
      <x:c r="H18" s="2" t="str">
        <x:v>652292d88c6cca157989af55b1d54b50226cdbe884e2d40614f19e071b8816d0</x:v>
      </x:c>
    </x:row>
    <x:row r="19">
      <x:c r="A19" s="2" t="str">
        <x:v>NTL_Trend_Analysis</x:v>
      </x:c>
      <x:c r="B19" s="2" t="str">
        <x:v>Analyze_NTL_trend</x:v>
      </x:c>
      <x:c r="C19" s="7" t="str">
        <x:v>NTL Analyst</x:v>
      </x:c>
      <x:c r="D19" s="2" t="str">
        <x:v>Yes</x:v>
      </x:c>
      <x:c r="E19" s="7" t="str">
        <x:v>Advanced tool for pixel-level trend analysis using a Theil-Sen median pairwise slope and a two-sided Kendall tau-b p-value (not OLS). It uses a vector file (SHP/JSON) to mask the research area for higher accuracy and speed. Inputs: a chronological list of NTL…</x:v>
      </x:c>
      <x:c r="F19" s="2" t="str">
        <x:v>.NTL_trend_detection_tool</x:v>
      </x:c>
      <x:c r="G19" s="7" t="str">
        <x:v>tools/NTL_trend_detection_tool.py</x:v>
      </x:c>
      <x:c r="H19" s="2" t="str">
        <x:v>eded65c0771d2c85dbf24eb8fc8826d570aad73f0c28808d5860ed2b7beb71d1</x:v>
      </x:c>
    </x:row>
    <x:row r="20">
      <x:c r="A20" s="2" t="str">
        <x:v>otsu_road_extraction_tool</x:v>
      </x:c>
      <x:c r="B20" s="2" t="str">
        <x:v>Extract_Road</x:v>
      </x:c>
      <x:c r="C20" s="7" t="str">
        <x:v>NTL Analyst</x:v>
      </x:c>
      <x:c r="D20" s="2" t="str">
        <x:v>Yes</x:v>
      </x:c>
      <x:c r="E20" s="7" t="str">
        <x:v>Extracts binary road centerline masks from grayscale images using Otsu global thresholding and morphological post-processing. The output is a GeoTIFF binary mask saved to your 'outputs/' folder. When a PolyLine Shapefile is requested, pass the resulting outpu…</x:v>
      </x:c>
      <x:c r="F20" s="2" t="str">
        <x:v>.main_road</x:v>
      </x:c>
      <x:c r="G20" s="7" t="str">
        <x:v>tools/main_road.py</x:v>
      </x:c>
      <x:c r="H20" s="2" t="str">
        <x:v>de0e396416823a3eb4677e9fcd3949ff60d073297e1e5e08163bf33e594b3bbb</x:v>
      </x:c>
    </x:row>
    <x:row r="21">
      <x:c r="A21" s="2" t="str">
        <x:v>road_mask_to_polyline_tool</x:v>
      </x:c>
      <x:c r="B21" s="2" t="str">
        <x:v>Vectorize_Road_Mask_to_PolyLine</x:v>
      </x:c>
      <x:c r="C21" s="7" t="str">
        <x:v>NTL Analyst</x:v>
      </x:c>
      <x:c r="D21" s="2" t="str">
        <x:v>Yes</x:v>
      </x:c>
      <x:c r="E21" s="7" t="str">
        <x:v>Convert a binary road centerline/skeleton GeoTIFF into a deterministic PolyLine Shapefile using 8-neighbour pixel-center connectivity. Use this after Extract_Road when a vector road artifact is requested; the complete .shp/.shx/.dbf/.prj/.cpg sidecar set is w…</x:v>
      </x:c>
      <x:c r="F21" s="2" t="str">
        <x:v>.road_vectorization</x:v>
      </x:c>
      <x:c r="G21" s="7" t="str">
        <x:v>tools/road_vectorization.py</x:v>
      </x:c>
      <x:c r="H21" s="2" t="str">
        <x:v>1d016598191b2cdcc66295a6f7420b9d31dfdad1367611820d2f163ce3ddacba</x:v>
      </x:c>
    </x:row>
    <x:row r="22">
      <x:c r="A22" s="2" t="str">
        <x:v>detect_ntl_anomaly_tool</x:v>
      </x:c>
      <x:c r="B22" s="2" t="str">
        <x:v>Detect_NTL_anomaly</x:v>
      </x:c>
      <x:c r="C22" s="7" t="str">
        <x:v>NTL Analyst</x:v>
      </x:c>
      <x:c r="D22" s="2" t="str">
        <x:v>Yes</x:v>
      </x:c>
      <x:c r="E22" s="7" t="str">
        <x:v>Identifies sudden brightness spikes or significant fluctuations in nighttime light (NTL) time-series data. The tool uses a positive Z-Score (K-Sigma) method to compare a target image against a historical baseline: population SD (ddof=0), strictly z &gt; threshol…</x:v>
      </x:c>
      <x:c r="F22" s="2" t="str">
        <x:v>.NTL_anomaly_detection_tool</x:v>
      </x:c>
      <x:c r="G22" s="7" t="str">
        <x:v>tools/NTL_anomaly_detection_tool.py</x:v>
      </x:c>
      <x:c r="H22" s="2" t="str">
        <x:v>c590a9e320eeaaa08870c241906eb553bde3f21b3104deb675b34e24e63507a6</x:v>
      </x:c>
    </x:row>
    <x:row r="23">
      <x:c r="A23" s="2" t="str">
        <x:v>get_administrative_division_tool</x:v>
      </x:c>
      <x:c r="B23" s="2" t="str">
        <x:v>get_administrative_division_data</x:v>
      </x:c>
      <x:c r="C23" s="7" t="str">
        <x:v>NTL Data Searcher</x:v>
      </x:c>
      <x:c r="D23" s="2" t="str">
        <x:v>Yes</x:v>
      </x:c>
      <x:c r="E23" s="7" t="str">
        <x:v>Retrieves Chinese administrative boundaries as a Shapefile. Province, municipality, and city queries return their child administrative divisions when the DataV _full layer is available; district queries may return the district itself when no lower-level layer…</x:v>
      </x:c>
      <x:c r="F23" s="2" t="str">
        <x:v>.GaoDe_tool</x:v>
      </x:c>
      <x:c r="G23" s="7" t="str">
        <x:v>tools/GaoDe_tool.py</x:v>
      </x:c>
      <x:c r="H23" s="2" t="str">
        <x:v>2b44364483e9abc1fcd9c2b95daa111b50c000c783d890526c000de62f2c6db0</x:v>
      </x:c>
    </x:row>
    <x:row r="24">
      <x:c r="A24" s="2" t="str">
        <x:v>poi_search_tool</x:v>
      </x:c>
      <x:c r="B24" s="2" t="str">
        <x:v>poi_search_tool</x:v>
      </x:c>
      <x:c r="C24" s="7" t="str">
        <x:v>NTL Data Searcher</x:v>
      </x:c>
      <x:c r="D24" s="2" t="str">
        <x:v>Yes</x:v>
      </x:c>
      <x:c r="E24" s="7" t="str">
        <x:v>This tool retrieves Points of Interest (POIs) within a specified radius around a given coordinate and saves the results to a CSV file. It uses Amap's POI search API. The API key is read from the environment variable 'amap_api_key'. With the retrieved latitude…</x:v>
      </x:c>
      <x:c r="F24" s="2" t="str">
        <x:v>.GaoDe_tool</x:v>
      </x:c>
      <x:c r="G24" s="7" t="str">
        <x:v>tools/GaoDe_tool.py</x:v>
      </x:c>
      <x:c r="H24" s="2" t="str">
        <x:v>2b44364483e9abc1fcd9c2b95daa111b50c000c783d890526c000de62f2c6db0</x:v>
      </x:c>
    </x:row>
    <x:row r="25">
      <x:c r="A25" s="2" t="str">
        <x:v>reverse_geocode_tool</x:v>
      </x:c>
      <x:c r="B25" s="2" t="str">
        <x:v>reverse_geocode_tool</x:v>
      </x:c>
      <x:c r="C25" s="7" t="str">
        <x:v>NTL Data Searcher, NTL Event Tracker</x:v>
      </x:c>
      <x:c r="D25" s="2" t="str">
        <x:v>Yes</x:v>
      </x:c>
      <x:c r="E25" s="7" t="str">
        <x:v>This tool performs reverse geocoding for a list of latitudes and longitudes, returning the corresponding full addresses.### Input Example: - latitudes: [40.748817, 34.052235] - longitudes: [-73.985428, -118.243683] - input_name: 'reverse_geocode_results.csv'…</x:v>
      </x:c>
      <x:c r="F25" s="2" t="str">
        <x:v>.GaoDe_tool</x:v>
      </x:c>
      <x:c r="G25" s="7" t="str">
        <x:v>tools/GaoDe_tool.py</x:v>
      </x:c>
      <x:c r="H25" s="2" t="str">
        <x:v>2b44364483e9abc1fcd9c2b95daa111b50c000c783d890526c000de62f2c6db0</x:v>
      </x:c>
    </x:row>
    <x:row r="26">
      <x:c r="A26" s="2" t="str">
        <x:v>geocode_tool</x:v>
      </x:c>
      <x:c r="B26" s="2" t="str">
        <x:v>geocode_tool</x:v>
      </x:c>
      <x:c r="C26" s="7" t="str">
        <x:v>NTL Data Searcher, NTL Event Tracker</x:v>
      </x:c>
      <x:c r="D26" s="2" t="str">
        <x:v>Yes</x:v>
      </x:c>
      <x:c r="E26" s="7" t="str">
        <x:v>This tool geocodes a given address, retrieving latitude and longitude using the Amap API, and saves the result to a CSV file. The API key is read from the environment variable 'amap_api_key'. With the obtained geographic coordinates, further analysis can be c…</x:v>
      </x:c>
      <x:c r="F26" s="2" t="str">
        <x:v>.GaoDe_tool</x:v>
      </x:c>
      <x:c r="G26" s="7" t="str">
        <x:v>tools/GaoDe_tool.py</x:v>
      </x:c>
      <x:c r="H26" s="2" t="str">
        <x:v>2b44364483e9abc1fcd9c2b95daa111b50c000c783d890526c000de62f2c6db0</x:v>
      </x:c>
    </x:row>
    <x:row r="27">
      <x:c r="A27" s="2" t="str">
        <x:v>NTL_download_tool</x:v>
      </x:c>
      <x:c r="B27" s="2" t="str">
        <x:v>NTL_download_tool</x:v>
      </x:c>
      <x:c r="C27" s="7" t="str">
        <x:v>NTL Data Searcher</x:v>
      </x:c>
      <x:c r="D27" s="2" t="str">
        <x:v>Yes</x:v>
      </x:c>
      <x:c r="E27" s="7" t="str">
        <x:v>Download nighttime light (NTL) imagery from Google Earth Engine. Use output filename only (saved to workspace inputs/). Supports either administrative region matching (study_area + scale_level) or direct bbox/box AOI (minx,miny,maxx,maxy). Outside China, admi…</x:v>
      </x:c>
      <x:c r="F27" s="2" t="str">
        <x:v>.GEE_download</x:v>
      </x:c>
      <x:c r="G27" s="7" t="str">
        <x:v>tools/GEE_download.py</x:v>
      </x:c>
      <x:c r="H27" s="2" t="str">
        <x:v>0fef28a34a492bae0187eed6e1593ded1d081cad51bd2e0898a22027a1b83766</x:v>
      </x:c>
    </x:row>
    <x:row r="28">
      <x:c r="A28" s="2" t="str">
        <x:v>GEE_raster_download_tool</x:v>
      </x:c>
      <x:c r="B28" s="2" t="str">
        <x:v>GEE_raster_download_tool</x:v>
      </x:c>
      <x:c r="C28" s="7" t="str">
        <x:v>NTL Data Searcher</x:v>
      </x:c>
      <x:c r="D28" s="2" t="str">
        <x:v>Yes</x:v>
      </x:c>
      <x:c r="E28" s="7" t="str">
        <x:v>Execute only a validated direct_local plan for a general Earth Engine Image or ImageCollection. Writes a single- or multi-band GeoTIFF into the current thread inputs directory, enforces workspace quota, and supports controlled Sentinel-2, Landsat, MODIS, and…</x:v>
      </x:c>
      <x:c r="F28" s="2" t="str">
        <x:v>.GEE_generic_download</x:v>
      </x:c>
      <x:c r="G28" s="7" t="str">
        <x:v>tools/GEE_generic_download.py</x:v>
      </x:c>
      <x:c r="H28" s="2" t="str">
        <x:v>ca6ca513a11bfc74ff01a0534d9b3fa837dc36f076b2c9db41c8032220d632a1</x:v>
      </x:c>
    </x:row>
    <x:row r="29">
      <x:c r="A29" s="2" t="str">
        <x:v>GEE_batch_export_tool</x:v>
      </x:c>
      <x:c r="B29" s="2" t="str">
        <x:v>GEE_batch_export_tool</x:v>
      </x:c>
      <x:c r="C29" s="7" t="str">
        <x:v>NTL Data Searcher</x:v>
      </x:c>
      <x:c r="D29" s="2" t="str">
        <x:v>Yes</x:v>
      </x:c>
      <x:c r="E29" s="7" t="str">
        <x:v>Execute only a validated batch_export plan. Submits a large raster export to Google Drive, Cloud Storage, or an Earth Engine asset and returns a recoverable /memories manifest plus task id.</x:v>
      </x:c>
      <x:c r="F29" s="2" t="str">
        <x:v>.GEE_batch_export</x:v>
      </x:c>
      <x:c r="G29" s="7" t="str">
        <x:v>tools/GEE_batch_export.py</x:v>
      </x:c>
      <x:c r="H29" s="2" t="str">
        <x:v>3b96953cc1065ade2279ee49d56de0640b24f072352806f03b791c95fac2bd6e</x:v>
      </x:c>
    </x:row>
    <x:row r="30">
      <x:c r="A30" s="2" t="str">
        <x:v>GEE_export_status_tool</x:v>
      </x:c>
      <x:c r="B30" s="2" t="str">
        <x:v>GEE_export_status_tool</x:v>
      </x:c>
      <x:c r="C30" s="7" t="str">
        <x:v>NTL Data Searcher</x:v>
      </x:c>
      <x:c r="D30" s="2" t="str">
        <x:v>Yes</x:v>
      </x:c>
      <x:c r="E30" s="7" t="str">
        <x:v>Refresh the live state, progress, destination, and failure reason for a GEE batch export manifest.</x:v>
      </x:c>
      <x:c r="F30" s="2" t="str">
        <x:v>.GEE_batch_export</x:v>
      </x:c>
      <x:c r="G30" s="7" t="str">
        <x:v>tools/GEE_batch_export.py</x:v>
      </x:c>
      <x:c r="H30" s="2" t="str">
        <x:v>3b96953cc1065ade2279ee49d56de0640b24f072352806f03b791c95fac2bd6e</x:v>
      </x:c>
    </x:row>
    <x:row r="31">
      <x:c r="A31" s="2" t="str">
        <x:v>GEE_export_cancel_tool</x:v>
      </x:c>
      <x:c r="B31" s="2" t="str">
        <x:v>GEE_export_cancel_tool</x:v>
      </x:c>
      <x:c r="C31" s="7" t="str">
        <x:v>NTL Data Searcher</x:v>
      </x:c>
      <x:c r="D31" s="2" t="str">
        <x:v>Yes</x:v>
      </x:c>
      <x:c r="E31" s="7" t="str">
        <x:v>Cancel a non-terminal GEE batch export using its current-thread manifest.</x:v>
      </x:c>
      <x:c r="F31" s="2" t="str">
        <x:v>.GEE_batch_export</x:v>
      </x:c>
      <x:c r="G31" s="7" t="str">
        <x:v>tools/GEE_batch_export.py</x:v>
      </x:c>
      <x:c r="H31" s="2" t="str">
        <x:v>3b96953cc1065ade2279ee49d56de0640b24f072352806f03b791c95fac2bd6e</x:v>
      </x:c>
    </x:row>
    <x:row r="32">
      <x:c r="A32" s="2" t="str">
        <x:v>get_administrative_division_geoboundaries_tool</x:v>
      </x:c>
      <x:c r="B32" s="2" t="str">
        <x:v>get_administrative_division_geoboundaries_tool</x:v>
      </x:c>
      <x:c r="C32" s="7" t="str">
        <x:v>NTL Data Searcher, NTL Event Tracker</x:v>
      </x:c>
      <x:c r="D32" s="2" t="str">
        <x:v>Yes</x:v>
      </x:c>
      <x:c r="E32" s="7" t="str">
        <x:v>Download global administrative boundaries from geoBoundaries by country and ADM level (ADM0-ADM4), optionally filter by place_name, and save into current workspace inputs/. Supports output as GeoJSON, or convert GeoJSON to ESRI Shapefile when requested.</x:v>
      </x:c>
      <x:c r="F32" s="2" t="str">
        <x:v>.global_admin_boundary_fetch</x:v>
      </x:c>
      <x:c r="G32" s="7" t="str">
        <x:v>tools/global_admin_boundary_fetch.py</x:v>
      </x:c>
      <x:c r="H32" s="2" t="str">
        <x:v>a3467dba08991c9cb68f61bddcc483426254c3e76f6e085c45bb3403517e5dc1</x:v>
      </x:c>
    </x:row>
    <x:row r="33">
      <x:c r="A33" s="2" t="str">
        <x:v>NDVI_download_tool</x:v>
      </x:c>
      <x:c r="B33" s="2" t="str">
        <x:v>NDVI_download_tool</x:v>
      </x:c>
      <x:c r="C33" s="7" t="str">
        <x:v>NTL Data Searcher</x:v>
      </x:c>
      <x:c r="D33" s="2" t="str">
        <x:v>Yes</x:v>
      </x:c>
      <x:c r="E33" s="7" t="str">
        <x:v>Download annual NDVI (MODIS MOD13Q1) for a region from GEE.</x:v>
      </x:c>
      <x:c r="F33" s="2" t="str">
        <x:v>.Other_image_download</x:v>
      </x:c>
      <x:c r="G33" s="7" t="str">
        <x:v>tools/Other_image_download.py</x:v>
      </x:c>
      <x:c r="H33" s="2" t="str">
        <x:v>49127c179d1cff36d3d95dad0a3f1246b1d9d2ad6eeb595cd6750fe00514ff7c</x:v>
      </x:c>
    </x:row>
    <x:row r="34">
      <x:c r="A34" s="2" t="str">
        <x:v>LandScan_download_tool</x:v>
      </x:c>
      <x:c r="B34" s="2" t="str">
        <x:v>LandScan_download_tool</x:v>
      </x:c>
      <x:c r="C34" s="7" t="str">
        <x:v>NTL Data Searcher</x:v>
      </x:c>
      <x:c r="D34" s="2" t="str">
        <x:v>Yes</x:v>
      </x:c>
      <x:c r="E34" s="7" t="str">
        <x:v>Download annual LandScan population rasters for a region from GEE.</x:v>
      </x:c>
      <x:c r="F34" s="2" t="str">
        <x:v>.Other_image_download</x:v>
      </x:c>
      <x:c r="G34" s="7" t="str">
        <x:v>tools/Other_image_download.py</x:v>
      </x:c>
      <x:c r="H34" s="2" t="str">
        <x:v>49127c179d1cff36d3d95dad0a3f1246b1d9d2ad6eeb595cd6750fe00514ff7c</x:v>
      </x:c>
    </x:row>
    <x:row r="35">
      <x:c r="A35" s="2" t="str">
        <x:v>google_bigquery_search</x:v>
      </x:c>
      <x:c r="B35" s="2" t="str">
        <x:v>Google_BigQuery_Search</x:v>
      </x:c>
      <x:c r="C35" s="7" t="str">
        <x:v>NTL Data Searcher, NTL Event Tracker</x:v>
      </x:c>
      <x:c r="D35" s="2" t="str">
        <x:v>Yes</x:v>
      </x:c>
      <x:c r="E35" s="7" t="str">
        <x:v>Query global event data via Google BigQuery. LIMITATION: Only supports 'gdelt-bq.gdeltv2.events'. COST NOTE: This table is not physically partitioned by date; any query scanning common columns will cost ~135GB - 150GB. The 200GB limit allows ~7 FREE queries p…</x:v>
      </x:c>
      <x:c r="F35" s="2" t="str">
        <x:v>.Google_Bigquery</x:v>
      </x:c>
      <x:c r="G35" s="7" t="str">
        <x:v>tools/Google_Bigquery.py</x:v>
      </x:c>
      <x:c r="H35" s="2" t="str">
        <x:v>bebd6db552faab4b84dba8ec32c4e69e6f9db4a58713828481462608c9efac58</x:v>
      </x:c>
    </x:row>
    <x:row r="36">
      <x:c r="A36" s="2" t="str">
        <x:v>Tavily_search</x:v>
      </x:c>
      <x:c r="B36" s="2" t="str">
        <x:v>tavily_search</x:v>
      </x:c>
      <x:c r="C36" s="7" t="str">
        <x:v>NTL Data Searcher, NTL Event Tracker</x:v>
      </x:c>
      <x:c r="D36" s="2" t="str">
        <x:v>Yes</x:v>
      </x:c>
      <x:c r="E36" s="7" t="str"/>
      <x:c r="F36" s="2" t="str">
        <x:v>.TavilySearch</x:v>
      </x:c>
      <x:c r="G36" s="7" t="str">
        <x:v>tools/TavilySearch.py</x:v>
      </x:c>
      <x:c r="H36" s="2" t="str">
        <x:v>7193ad7e9e403866cd8a62c5986b52b84b76967c4ef2a2e69742643bc5e01da6</x:v>
      </x:c>
    </x:row>
    <x:row r="37">
      <x:c r="A37" s="2" t="str">
        <x:v>China_Official_Stats_tool</x:v>
      </x:c>
      <x:c r="B37" s="2" t="str">
        <x:v>China_Official_Stats_tool</x:v>
      </x:c>
      <x:c r="C37" s="7" t="str">
        <x:v>NTL Data Searcher</x:v>
      </x:c>
      <x:c r="D37" s="2" t="str">
        <x:v>Yes</x:v>
      </x:c>
      <x:c r="E37" s="7" t="str">
        <x:v>Fetch China province-level statistics. Supports GDP from NBS, shared base_data GDP cache, official yearbook, and labelled public dataset fallbacks; supports official/cached 2020 GDP for Taiwan, Hong Kong, and Macau; supports official 2020 census/reference pop…</x:v>
      </x:c>
      <x:c r="F37" s="2" t="str">
        <x:v>.China_official_stats</x:v>
      </x:c>
      <x:c r="G37" s="7" t="str">
        <x:v>tools/China_official_stats.py</x:v>
      </x:c>
      <x:c r="H37" s="2" t="str">
        <x:v>e7f4738c52094868454060d0c1f7e250cda783773071a74d57be5dd66caf122c</x:v>
      </x:c>
    </x:row>
    <x:row r="38">
      <x:c r="A38" s="2" t="str">
        <x:v>China_Official_GDP_tool</x:v>
      </x:c>
      <x:c r="B38" s="2" t="str">
        <x:v>China_Official_GDP_tool</x:v>
      </x:c>
      <x:c r="C38" s="7" t="str">
        <x:v>NTL Data Searcher</x:v>
      </x:c>
      <x:c r="D38" s="2" t="str">
        <x:v>Yes</x:v>
      </x:c>
      <x:c r="E38" s="7" t="str">
        <x:v>Compatibility wrapper for annual regional GDP. Uses China_Official_Stats_tool internally with official and labelled public dataset fallbacks, and saves CSV into inputs/. For all-34 GDP plus census population requests, prefer China_Official_Stats_tool.</x:v>
      </x:c>
      <x:c r="F38" s="2" t="str">
        <x:v>.China_official_stats</x:v>
      </x:c>
      <x:c r="G38" s="7" t="str">
        <x:v>tools/China_official_stats.py</x:v>
      </x:c>
      <x:c r="H38" s="2" t="str">
        <x:v>e7f4738c52094868454060d0c1f7e250cda783773071a74d57be5dd66caf122c</x:v>
      </x:c>
    </x:row>
    <x:row r="39">
      <x:c r="A39" s="2" t="str">
        <x:v>Country_GDP_Search_tool</x:v>
      </x:c>
      <x:c r="B39" s="2" t="str">
        <x:v>Country_GDP_Search_tool</x:v>
      </x:c>
      <x:c r="C39" s="7" t="str">
        <x:v>NTL Data Searcher</x:v>
      </x:c>
      <x:c r="D39" s="2" t="str">
        <x:v>Yes</x:v>
      </x:c>
      <x:c r="E39" s="7" t="str">
        <x:v>Fetch country-scale GDP. Uses World Bank historical GDP (current US$) as primary source and Worldometers latest GDP snapshot as fallback when applicable. Saves CSV into inputs/.</x:v>
      </x:c>
      <x:c r="F39" s="2" t="str">
        <x:v>.country_gdp_tool</x:v>
      </x:c>
      <x:c r="G39" s="7" t="str">
        <x:v>tools/country_gdp_tool.py</x:v>
      </x:c>
      <x:c r="H39" s="2" t="str">
        <x:v>9c689bd4a321131593db1cffaceb0de3cfcdf75c8ca94212c77a7f7c53172324</x:v>
      </x:c>
    </x:row>
    <x:row r="40">
      <x:c r="A40" s="2" t="str">
        <x:v>geodata_inspector_tool</x:v>
      </x:c>
      <x:c r="B40" s="2" t="str">
        <x:v>geodata_inspector_tool</x:v>
      </x:c>
      <x:c r="C40" s="7" t="str">
        <x:v>NTL Engineer, NTL Data Searcher, NTL Analyst</x:v>
      </x:c>
      <x:c r="D40" s="2" t="str">
        <x:v>Yes</x:v>
      </x:c>
      <x:c r="E40" s="7" t="str">
        <x:v>Inspect local raster/vector assets and optional GEE cloud assets. Use mode='basic' for fast availability checks (exists/readable + key metadata), or mode='full' for extended raster stats and sample records. When both raster and vector are provided, checks CRS…</x:v>
      </x:c>
      <x:c r="F40" s="2" t="str">
        <x:v>.geodata_inspector_tool</x:v>
      </x:c>
      <x:c r="G40" s="7" t="str">
        <x:v>tools/geodata_inspector_tool.py</x:v>
      </x:c>
      <x:c r="H40" s="2" t="str">
        <x:v>6d991314ac4a0e670855765489c36fc73f2911db728c6bdc4710d61dd1555ef0</x:v>
      </x:c>
    </x:row>
    <x:row r="41">
      <x:c r="A41" s="2" t="str">
        <x:v>geodata_quick_check_tool</x:v>
      </x:c>
      <x:c r="B41" s="2" t="str">
        <x:v>geodata_quick_check_tool</x:v>
      </x:c>
      <x:c r="C41" s="7" t="str">
        <x:v>NTL Engineer, NTL Data Searcher, NTL Analyst</x:v>
      </x:c>
      <x:c r="D41" s="2" t="str">
        <x:v>Yes</x:v>
      </x:c>
      <x:c r="E41" s="7" t="str">
        <x:v>Quick-check local raster/vector files and optional GEE assets for existence/readability with basic metadata (CRS, bounds, dimensions/feature_count). Default dedupe_mode is 'none' so per-year/per-month files are all counted. Intended for Data_Searcher boundary…</x:v>
      </x:c>
      <x:c r="F41" s="2" t="str">
        <x:v>.geodata_inspector_tool</x:v>
      </x:c>
      <x:c r="G41" s="7" t="str">
        <x:v>tools/geodata_inspector_tool.py</x:v>
      </x:c>
      <x:c r="H41" s="2" t="str">
        <x:v>6d991314ac4a0e670855765489c36fc73f2911db728c6bdc4710d61dd1555ef0</x:v>
      </x:c>
    </x:row>
    <x:row r="42">
      <x:c r="A42" s="2" t="str">
        <x:v>execute_geospatial_script_tool</x:v>
      </x:c>
      <x:c r="B42" s="2" t="str">
        <x:v>execute_geospatial_script_tool</x:v>
      </x:c>
      <x:c r="C42" s="7" t="str">
        <x:v>NTL Engineer, NTL Analyst</x:v>
      </x:c>
      <x:c r="D42" s="2" t="str">
        <x:v>Yes</x:v>
      </x:c>
      <x:c r="E42" s="7" t="str">
        <x:v>Bounded local execution for NTL_Engineer routine code and NTL_Analyst scientific scripts. The Engineer may use it for ordinary deterministic file transforms, format conversion, small aggregations, and report/figure assembly; NTL-specific methods, modeling, an…</x:v>
      </x:c>
      <x:c r="F42" s="2" t="str">
        <x:v>.NTL_Code_generation</x:v>
      </x:c>
      <x:c r="G42" s="7" t="str">
        <x:v>tools/NTL_Code_generation.py</x:v>
      </x:c>
      <x:c r="H42" s="2" t="str">
        <x:v>d25984f6a870f54ff94efa272a03e03f3c77fe59e065c0795e5bd58d2910c811</x:v>
      </x:c>
    </x:row>
    <x:row r="43">
      <x:c r="A43" s="2" t="str">
        <x:v>GEE_request_plan_tool</x:v>
      </x:c>
      <x:c r="B43" s="2" t="str">
        <x:v>GEE_request_plan_tool</x:v>
      </x:c>
      <x:c r="C43" s="7" t="str">
        <x:v>NTL Data Searcher</x:v>
      </x:c>
      <x:c r="D43" s="2" t="str">
        <x:v>Yes</x:v>
      </x:c>
      <x:c r="E43" s="7" t="str">
        <x:v>Primary planner for NTL and general Earth Engine requests. It preserves explicit dataset ids, combines curated and official catalog candidates, validates live metadata, estimates AOI workload, and returns a structured direct-local/server-reduce/batch-export/o…</x:v>
      </x:c>
      <x:c r="F43" s="2" t="str">
        <x:v>.GEE_specialist_toolkit</x:v>
      </x:c>
      <x:c r="G43" s="7" t="str">
        <x:v>tools/GEE_specialist_toolkit.py</x:v>
      </x:c>
      <x:c r="H43" s="2" t="str">
        <x:v>3008c0cbb96725301878fc2b10484c478d6d50eda99ad55cabddf0ef9ea00ef2</x:v>
      </x:c>
    </x:row>
    <x:row r="44">
      <x:c r="A44" s="2" t="str">
        <x:v>GEE_script_blueprint_tool</x:v>
      </x:c>
      <x:c r="B44" s="2" t="str">
        <x:v>GEE_script_blueprint_tool</x:v>
      </x:c>
      <x:c r="C44" s="7" t="str">
        <x:v>NTL Data Searcher</x:v>
      </x:c>
      <x:c r="D44" s="2" t="str">
        <x:v>Yes</x:v>
      </x:c>
      <x:c r="E44" s="7" t="str">
        <x:v>Generate GEE Python or JavaScript script blueprints for retrieval, analysis, and export workflows. Python templates are compatible with storage_manager and Geo-CodeCoT execution.</x:v>
      </x:c>
      <x:c r="F44" s="2" t="str">
        <x:v>.GEE_specialist_toolkit</x:v>
      </x:c>
      <x:c r="G44" s="7" t="str">
        <x:v>tools/GEE_specialist_toolkit.py</x:v>
      </x:c>
      <x:c r="H44" s="2" t="str">
        <x:v>3008c0cbb96725301878fc2b10484c478d6d50eda99ad55cabddf0ef9ea00ef2</x:v>
      </x:c>
    </x:row>
    <x:row r="45">
      <x:c r="A45" s="2" t="str">
        <x:v>GEE_catalog_discovery_tool</x:v>
      </x:c>
      <x:c r="B45" s="2" t="str">
        <x:v>GEE_catalog_discovery_tool</x:v>
      </x:c>
      <x:c r="C45" s="7" t="str">
        <x:v>NTL Data Searcher</x:v>
      </x:c>
      <x:c r="D45" s="2" t="str">
        <x:v>Yes</x:v>
      </x:c>
      <x:c r="E45" s="7" t="str">
        <x:v>Discover candidate GEE datasets from the Earth Engine catalog by natural-language query. Returns catalog URLs, known matches, and unknown candidates for metadata validation.</x:v>
      </x:c>
      <x:c r="F45" s="2" t="str">
        <x:v>.GEE_specialist_toolkit</x:v>
      </x:c>
      <x:c r="G45" s="7" t="str">
        <x:v>tools/GEE_specialist_toolkit.py</x:v>
      </x:c>
      <x:c r="H45" s="2" t="str">
        <x:v>3008c0cbb96725301878fc2b10484c478d6d50eda99ad55cabddf0ef9ea00ef2</x:v>
      </x:c>
    </x:row>
    <x:row r="46">
      <x:c r="A46" s="2" t="str">
        <x:v>GEE_dataset_metadata_tool</x:v>
      </x:c>
      <x:c r="B46" s="2" t="str">
        <x:v>GEE_dataset_metadata_tool</x:v>
      </x:c>
      <x:c r="C46" s="7" t="str">
        <x:v>NTL Data Searcher</x:v>
      </x:c>
      <x:c r="D46" s="2" t="str">
        <x:v>Yes</x:v>
      </x:c>
      <x:c r="E46" s="7" t="str">
        <x:v>Validate metadata for any Earth Engine dataset id (ImageCollection/Image/FeatureCollection), including band names and temporal coverage when available.</x:v>
      </x:c>
      <x:c r="F46" s="2" t="str">
        <x:v>.GEE_specialist_toolkit</x:v>
      </x:c>
      <x:c r="G46" s="7" t="str">
        <x:v>tools/GEE_specialist_toolkit.py</x:v>
      </x:c>
      <x:c r="H46" s="2" t="str">
        <x:v>3008c0cbb96725301878fc2b10484c478d6d50eda99ad55cabddf0ef9ea00ef2</x:v>
      </x:c>
    </x:row>
    <x:row r="47">
      <x:c r="A47" s="2" t="str">
        <x:v>dataset_latest_availability_tool</x:v>
      </x:c>
      <x:c r="B47" s="2" t="str">
        <x:v>dataset_latest_availability_tool</x:v>
      </x:c>
      <x:c r="C47" s="7" t="str">
        <x:v>NTL Data Searcher</x:v>
      </x:c>
      <x:c r="D47" s="2" t="str">
        <x:v>Yes</x:v>
      </x:c>
      <x:c r="E47" s="7" t="str">
        <x:v>Check latest data availability for one or more GEE datasets and/or NASA LAADS/CMR short_name products. Use before recent daily/event analysis to verify whether the requested end date is already available.</x:v>
      </x:c>
      <x:c r="F47" s="2" t="str">
        <x:v>.GEE_specialist_toolkit</x:v>
      </x:c>
      <x:c r="G47" s="7" t="str">
        <x:v>tools/GEE_specialist_toolkit.py</x:v>
      </x:c>
      <x:c r="H47" s="2" t="str">
        <x:v>3008c0cbb96725301878fc2b10484c478d6d50eda99ad55cabddf0ef9ea00ef2</x:v>
      </x:c>
    </x:row>
    <x:row r="48">
      <x:c r="A48" s="2" t="str">
        <x:v>NTL_estimate_indicator_provincial_tool</x:v>
      </x:c>
      <x:c r="B48" s="2" t="str">
        <x:v>NTL_Estimate_Indicator_Provincial</x:v>
      </x:c>
      <x:c r="C48" s="7" t="str">
        <x:v>NTL Analyst</x:v>
      </x:c>
      <x:c r="D48" s="2" t="str">
        <x:v>Yes</x:v>
      </x:c>
      <x:c r="E48" s="7" t="str">
        <x:v>Estimate provincial indicators (GDP, EPC, Population, CO2) using TNTL. For CO2, 'province' is required.</x:v>
      </x:c>
      <x:c r="F48" s="2" t="str">
        <x:v>.NTL_estimate_indicator</x:v>
      </x:c>
      <x:c r="G48" s="7" t="str">
        <x:v>tools/NTL_estimate_indicator.py</x:v>
      </x:c>
      <x:c r="H48" s="2" t="str">
        <x:v>80cc8fda01354c3ffb313b090e16199f8cf837759ef9991a0ebde7f0d5b12bde</x:v>
      </x:c>
    </x:row>
    <x:row r="49">
      <x:c r="A49" s="2" t="str">
        <x:v>DEI_estimate_city_tool</x:v>
      </x:c>
      <x:c r="B49" s="2" t="str">
        <x:v>DEI_Estimate_City</x:v>
      </x:c>
      <x:c r="C49" s="7" t="str">
        <x:v>NTL Analyst</x:v>
      </x:c>
      <x:c r="D49" s="2" t="str">
        <x:v>Yes</x:v>
      </x:c>
      <x:c r="E49" s="7" t="str">
        <x:v>Estimate city-level Digital Economy Indicator (DEI) from positive city TNTL. TNTL means total nighttime light; ANTL/mean radiance is not compatible. Both 'tntl' and an explicitly available model 'year' are required.</x:v>
      </x:c>
      <x:c r="F49" s="2" t="str">
        <x:v>.NTL_estimate_indicator</x:v>
      </x:c>
      <x:c r="G49" s="7" t="str">
        <x:v>tools/NTL_estimate_indicator.py</x:v>
      </x:c>
      <x:c r="H49" s="2" t="str">
        <x:v>80cc8fda01354c3ffb313b090e16199f8cf837759ef9991a0ebde7f0d5b12bde</x:v>
      </x:c>
    </x:row>
    <x:row r="50">
      <x:c r="A50" s="2" t="str">
        <x:v>official_vj_dnb_fullchain_tool</x:v>
      </x:c>
      <x:c r="B50" s="2" t="str">
        <x:v>official_vj_dnb_fullchain_tool</x:v>
      </x:c>
      <x:c r="C50" s="7" t="str">
        <x:v>NTL Data Searcher</x:v>
      </x:c>
      <x:c r="D50" s="2" t="str">
        <x:v>Yes</x:v>
      </x:c>
      <x:c r="E50" s="7" t="str">
        <x:v>Official nighttime lights full chain pipeline. Supports VJ102DNB/VJ103DNB swath query+download+precise preprocess, and VJ146A1/VJ146A2 gridded clipped outputs with optional qa_mode and GIF rendering.</x:v>
      </x:c>
      <x:c r="F50" s="2" t="str">
        <x:v>.official_vj_dnb_pipeline_tool</x:v>
      </x:c>
      <x:c r="G50" s="7" t="str">
        <x:v>tools/official_vj_dnb_pipeline_tool.py</x:v>
      </x:c>
      <x:c r="H50" s="2" t="str">
        <x:v>6359b9b5ab8a0c5c5da6909652dcc07e076710d0daa16c90d6df8fbac3e60889</x:v>
      </x:c>
    </x:row>
    <x:row r="51">
      <x:c r="A51" s="2" t="str">
        <x:v>official_vj_dnb_preprocess_tool</x:v>
      </x:c>
      <x:c r="B51" s="2" t="str">
        <x:v>official_vj_dnb_preprocess_tool</x:v>
      </x:c>
      <x:c r="C51" s="7" t="str">
        <x:v>NTL Data Searcher</x:v>
      </x:c>
      <x:c r="D51" s="2" t="str">
        <x:v>Yes</x:v>
      </x:c>
      <x:c r="E51" s="7" t="str">
        <x:v>Preprocess existing local VJ102DNB/VJ103DNB NC files into daily GeoTIFF using the precise official VIIRS DNB preprocessing pipeline.</x:v>
      </x:c>
      <x:c r="F51" s="2" t="str">
        <x:v>.official_vj_dnb_preprocess_tool</x:v>
      </x:c>
      <x:c r="G51" s="7" t="str">
        <x:v>tools/official_vj_dnb_preprocess_tool.py</x:v>
      </x:c>
      <x:c r="H51" s="2" t="str">
        <x:v>b82711bcc05a3ce4f7c9b8c0f11bfea21bcdbd7fd66d58fd8d533d2f2f09139d</x:v>
      </x:c>
    </x:row>
    <x:row r="52">
      <x:c r="A52" s="2" t="str">
        <x:v>convert_vj102_vj103_precise_to_tif_tool</x:v>
      </x:c>
      <x:c r="B52" s="2" t="str">
        <x:v>convert_vj102_vj103_precise_to_tif_tool</x:v>
      </x:c>
      <x:c r="C52" s="7" t="str">
        <x:v>NTL Data Searcher</x:v>
      </x:c>
      <x:c r="D52" s="2" t="str">
        <x:v>Yes</x:v>
      </x:c>
      <x:c r="E52" s="7" t="str">
        <x:v>Wrapper of convert_vj102_vj103_precise_to_tif.py. Preprocess local VJ102DNB/VJ103DNB NC files into daily GeoTIFF with storage_manager-compatible paths.</x:v>
      </x:c>
      <x:c r="F52" s="2" t="str">
        <x:v>.official_vj_dnb_preprocess_tool</x:v>
      </x:c>
      <x:c r="G52" s="7" t="str">
        <x:v>tools/official_vj_dnb_preprocess_tool.py</x:v>
      </x:c>
      <x:c r="H52" s="2" t="str">
        <x:v>b82711bcc05a3ce4f7c9b8c0f11bfea21bcdbd7fd66d58fd8d533d2f2f09139d</x:v>
      </x:c>
    </x:row>
    <x:row r="53">
      <x:c r="A53" s="2" t="str">
        <x:v>NTL_preview_tool</x:v>
      </x:c>
      <x:c r="B53" s="2" t="str">
        <x:v>NTL_preview_tool</x:v>
      </x:c>
      <x:c r="C53" s="7" t="str">
        <x:v>NTL Data Searcher</x:v>
      </x:c>
      <x:c r="D53" s="2" t="str">
        <x:v>Yes</x:v>
      </x:c>
      <x:c r="E53" s="7" t="str">
        <x:v>Generate multi-year nighttime-light preview images from Earth Engine as PNG thumbnails and an optional GIF. Supports selectable year lists, annual datasets, configurable region boundaries, and service-side rendering.</x:v>
      </x:c>
      <x:c r="F53" s="2" t="str">
        <x:v>.ntl_preview_tool</x:v>
      </x:c>
      <x:c r="G53" s="7" t="str">
        <x:v>tools/ntl_preview_tool.py</x:v>
      </x:c>
      <x:c r="H53" s="2" t="str">
        <x:v>7f24d25817d881198169cbf947e494c3722188a0b4016e78b323e121affe95cb</x:v>
      </x:c>
    </x:row>
    <x:row r="54">
      <x:c r="A54" s="2" t="str">
        <x:v>official_vj_dnb_gif_tool</x:v>
      </x:c>
      <x:c r="B54" s="2" t="str">
        <x:v>official_vj_dnb_gif_tool</x:v>
      </x:c>
      <x:c r="C54" s="7" t="str">
        <x:v>NTL Data Searcher, NTL Analyst</x:v>
      </x:c>
      <x:c r="D54" s="2" t="str">
        <x:v>Yes</x:v>
      </x:c>
      <x:c r="E54" s="7" t="str">
        <x:v>Generate complete nighttime-light cartography and animated GIF from daily GeoTIFF series, supporting basemap provider selection, bbox view, transparency threshold, classified rendering, event/port overlays, custom point symbol mapping, and optional boundary o…</x:v>
      </x:c>
      <x:c r="F54" s="2" t="str">
        <x:v>.official_vj_dnb_gif_tool</x:v>
      </x:c>
      <x:c r="G54" s="7" t="str">
        <x:v>tools/official_vj_dnb_gif_tool.py</x:v>
      </x:c>
      <x:c r="H54" s="2" t="str">
        <x:v>65608e16dccab936b1bdea0b15120948da57bf1c29937d8f52396a589dd11888</x:v>
      </x:c>
    </x:row>
    <x:row r="55">
      <x:c r="A55" s="2" t="str">
        <x:v>official_ntl_ais_fusion_tool</x:v>
      </x:c>
      <x:c r="B55" s="2" t="str">
        <x:v>official_ntl_ais_fusion_tool</x:v>
      </x:c>
      <x:c r="C55" s="7" t="str">
        <x:v>NTL Data Searcher, NTL Analyst</x:v>
      </x:c>
      <x:c r="D55" s="2" t="str">
        <x:v>Yes</x:v>
      </x:c>
      <x:c r="E55" s="7" t="str">
        <x:v>Fuse daily NTL rasters with AIS trajectories/points to estimate vessel activity, anchored vessels, and gate crossings, and export metrics + visualizations.</x:v>
      </x:c>
      <x:c r="F55" s="2" t="str">
        <x:v>.official_ntl_ais_fusion_tool</x:v>
      </x:c>
      <x:c r="G55" s="7" t="str">
        <x:v>tools/official_ntl_ais_fusion_tool.py</x:v>
      </x:c>
      <x:c r="H55" s="2" t="str">
        <x:v>9cc632dc6cadc815360f9d64f3c4b61d5ce2a0a29f794042e35a1190762f1995</x:v>
      </x:c>
    </x:row>
    <x:row r="56">
      <x:c r="A56" s="2" t="str">
        <x:v>official_vnp46a2_h5_country_mosaic_tool</x:v>
      </x:c>
      <x:c r="B56" s="2" t="str">
        <x:v>official_vnp46a2_h5_country_mosaic_tool</x:v>
      </x:c>
      <x:c r="C56" s="7" t="str">
        <x:v>NTL Data Searcher</x:v>
      </x:c>
      <x:c r="D56" s="2" t="str">
        <x:v>Yes</x:v>
      </x:c>
      <x:c r="E56" s="7" t="str">
        <x:v>Plan or run the official Earthdata HDF5 route for country-scale, non-gap-filled VNP46A2 DNB_BRDF_Corrected_NTL. It prepares OSM 0.001-degree boundaries, downloads validated HDF5 granules, mosaics/clips GeoTIFFs, and audits country-days inside the current thre…</x:v>
      </x:c>
      <x:c r="F56" s="2" t="str">
        <x:v>.vnp46a2_official_h5_country_tool</x:v>
      </x:c>
      <x:c r="G56" s="7" t="str">
        <x:v>tools/vnp46a2_official_h5_country_tool.py</x:v>
      </x:c>
      <x:c r="H56" s="2" t="str">
        <x:v>1d3233d1000b924f1ba09aad962a46898abced32f55764521f425eed54cb7723</x:v>
      </x:c>
    </x:row>
    <x:row r="57">
      <x:c r="A57" s="2" t="str">
        <x:v>official_vnp46a1_h5_tool</x:v>
      </x:c>
      <x:c r="B57" s="2" t="str">
        <x:v>official_vnp46a1_h5_tool</x:v>
      </x:c>
      <x:c r="C57" s="7" t="str">
        <x:v>NTL Data Searcher</x:v>
      </x:c>
      <x:c r="D57" s="2" t="str">
        <x:v>Yes</x:v>
      </x:c>
      <x:c r="E57" s="7" t="str">
        <x:v>Plan or run the official NASA Earthdata VNP46A1 HDF5 route for a bounded country or WGS84 bbox. It preserves at-sensor DNB radiance and optionally writes UTC_Time; it is not a VNP46A2 or GEE substitute.</x:v>
      </x:c>
      <x:c r="F57" s="2" t="str">
        <x:v>.vnp46a1_official_h5_tool</x:v>
      </x:c>
      <x:c r="G57" s="7" t="str">
        <x:v>tools/vnp46a1_official_h5_tool.py</x:v>
      </x:c>
      <x:c r="H57" s="2" t="str">
        <x:v>411d0884a863cd92b546e06026607a0a9b1f20c3b347f6f8d0d773060ee2fa5f</x:v>
      </x:c>
    </x:row>
    <x:row r="58">
      <x:c r="A58" s="2" t="str">
        <x:v>uploaded_pdf_understanding_tool</x:v>
      </x:c>
      <x:c r="B58" s="2" t="str">
        <x:v>uploaded_pdf_understanding_tool</x:v>
      </x:c>
      <x:c r="C58" s="7" t="str">
        <x:v>NTL Engineer, NTL Analyst</x:v>
      </x:c>
      <x:c r="D58" s="2" t="str">
        <x:v>Yes</x:v>
      </x:c>
      <x:c r="E58" s="7" t="str">
        <x:v>Understand uploaded PDF files in current workspace (inputs/outputs), inject context, and return relevant snippets for current query. Use when user asks to summarize/read/extract information from uploaded PDF(s).</x:v>
      </x:c>
      <x:c r="F58" s="2" t="str">
        <x:v>.uploaded_file_understanding_tool</x:v>
      </x:c>
      <x:c r="G58" s="7" t="str">
        <x:v>tools/uploaded_file_understanding_tool.py</x:v>
      </x:c>
      <x:c r="H58" s="2" t="str">
        <x:v>173b4013bf43549f6575c35e98c72c159710de24bf59588b8cd5e72b5a388e0e</x:v>
      </x:c>
    </x:row>
    <x:row r="59">
      <x:c r="A59" s="2" t="str">
        <x:v>conflict_ntl_screen_events_tool</x:v>
      </x:c>
      <x:c r="B59" s="2" t="str">
        <x:v>conflict_ntl_screen_events_tool</x:v>
      </x:c>
      <x:c r="C59" s="7" t="str">
        <x:v>NTL Event Tracker</x:v>
      </x:c>
      <x:c r="D59" s="2" t="str">
        <x:v>Yes</x:v>
      </x:c>
      <x:c r="E59" s="7" t="str">
        <x:v>Screen conflict event records for traceability and NTL verification applicability.</x:v>
      </x:c>
      <x:c r="F59" s="2" t="str">
        <x:v>.conflict_ntl</x:v>
      </x:c>
      <x:c r="G59" s="7" t="str">
        <x:v>tools/conflict_ntl.py</x:v>
      </x:c>
      <x:c r="H59" s="2" t="str">
        <x:v>f5dca3a7c19c168dede5cbb4ffd6638d2fb2e10de9ca0f9d65a4581feb4f68ea</x:v>
      </x:c>
    </x:row>
    <x:row r="60">
      <x:c r="A60" s="2" t="str">
        <x:v>conflict_ntl_source_freshness_tool</x:v>
      </x:c>
      <x:c r="B60" s="2" t="str">
        <x:v>conflict_ntl_source_freshness_tool</x:v>
      </x:c>
      <x:c r="C60" s="7" t="str">
        <x:v>NTL Event Tracker</x:v>
      </x:c>
      <x:c r="D60" s="2" t="str">
        <x:v>Yes</x:v>
      </x:c>
      <x:c r="E60" s="7" t="str">
        <x:v>Check freshness metadata for ConflictNTL event sources such as the ISW StoryMap ArcGIS item.</x:v>
      </x:c>
      <x:c r="F60" s="2" t="str">
        <x:v>.conflict_ntl</x:v>
      </x:c>
      <x:c r="G60" s="7" t="str">
        <x:v>tools/conflict_ntl.py</x:v>
      </x:c>
      <x:c r="H60" s="2" t="str">
        <x:v>f5dca3a7c19c168dede5cbb4ffd6638d2fb2e10de9ca0f9d65a4581feb4f68ea</x:v>
      </x:c>
    </x:row>
    <x:row r="61">
      <x:c r="A61" s="2" t="str">
        <x:v>conflict_ntl_fetch_isw_events_tool</x:v>
      </x:c>
      <x:c r="B61" s="2" t="str">
        <x:v>conflict_ntl_fetch_isw_events_tool</x:v>
      </x:c>
      <x:c r="C61" s="7" t="str">
        <x:v>NTL Event Tracker</x:v>
      </x:c>
      <x:c r="D61" s="2" t="str">
        <x:v>Yes</x:v>
      </x:c>
      <x:c r="E61" s="7" t="str">
        <x:v>Fetch ISW/CTP StoryMap ArcGIS FeatureServer event points and export standardized CSV, GeoJSON, and metadata for ConflictNTL.</x:v>
      </x:c>
      <x:c r="F61" s="2" t="str">
        <x:v>.conflict_ntl</x:v>
      </x:c>
      <x:c r="G61" s="7" t="str">
        <x:v>tools/conflict_ntl.py</x:v>
      </x:c>
      <x:c r="H61" s="2" t="str">
        <x:v>f5dca3a7c19c168dede5cbb4ffd6638d2fb2e10de9ca0f9d65a4581feb4f68ea</x:v>
      </x:c>
    </x:row>
    <x:row r="62">
      <x:c r="A62" s="2" t="str">
        <x:v>conflict_city_event_ranking_tool</x:v>
      </x:c>
      <x:c r="B62" s="2" t="str">
        <x:v>conflict_city_event_ranking_tool</x:v>
      </x:c>
      <x:c r="C62" s="7" t="str">
        <x:v>NTL Event Tracker</x:v>
      </x:c>
      <x:c r="D62" s="2" t="str">
        <x:v>Yes</x:v>
      </x:c>
      <x:c r="E62" s="7" t="str">
        <x:v>Load an authorized conflict-event snapshot or retrieve an authorized live ArcGIS snapshot, apply a fixed attack-record taxonomy and cutoff date, count distinct source records by country and city, preserve all country-level ties, and write auditable CSV/GeoJSO…</x:v>
      </x:c>
      <x:c r="F62" s="2" t="str">
        <x:v>.conflict_city_events</x:v>
      </x:c>
      <x:c r="G62" s="7" t="str">
        <x:v>tools/conflict_city_events.py</x:v>
      </x:c>
      <x:c r="H62" s="2" t="str">
        <x:v>ebe6de594fc3dd0383e0ccf2b703177ebe772ec0cd257d48aa3ac480b11acaa1</x:v>
      </x:c>
    </x:row>
  </x:sheetData>
  <x:pageMargins left="0.7" right="0.7" top="0.75" bottom="0.75" header="0.3" footer="0.3"/>
  <x:tableParts count="1">
    <x:tablePart xmlns:r="http://schemas.openxmlformats.org/officeDocument/2006/relationships" r:id="Ra001038f852f4e8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1.25" hidden="0" customWidth="1"/>
    <x:col min="2" max="2" width="31.25" hidden="0" customWidth="1"/>
    <x:col min="3" max="3" width="65" hidden="0" customWidth="1"/>
    <x:col min="4" max="4" width="23.75" hidden="0" customWidth="1"/>
    <x:col min="5" max="5" width="31.25" hidden="0" customWidth="1"/>
    <x:col min="6" max="6" width="45" hidden="0" customWidth="1"/>
    <x:col min="7" max="7" width="25" hidden="0" customWidth="1"/>
  </x:cols>
  <x:sheetData>
    <x:row r="1" ht="27" customHeight="1">
      <x:c r="A1" s="6" t="str">
        <x:v>Tool export</x:v>
      </x:c>
      <x:c r="B1" s="6" t="str">
        <x:v>Runtime name</x:v>
      </x:c>
      <x:c r="C1" s="6" t="str">
        <x:v>Purpose</x:v>
      </x:c>
      <x:c r="D1" s="6" t="str">
        <x:v>Source module</x:v>
      </x:c>
      <x:c r="E1" s="6" t="str">
        <x:v>Source file</x:v>
      </x:c>
      <x:c r="F1" s="6" t="str">
        <x:v>SHA-256</x:v>
      </x:c>
      <x:c r="G1" s="6" t="str">
        <x:v>Runtime exposure</x:v>
      </x:c>
    </x:row>
    <x:row r="2">
      <x:c r="A2" s="2" t="str">
        <x:v>get_administrative_division_osm_tool</x:v>
      </x:c>
      <x:c r="B2" s="2" t="str">
        <x:v>get_administrative_division_osm_tool</x:v>
      </x:c>
      <x:c r="C2" s="7" t="str">
        <x:v>[Deprecated] Fetches administrative boundaries from OSM/Nominatim and saves ESRI Shapefile in WGS-84. Prefer `get_administrative_division_geoboundaries_tool` for global boundaries (ADM0-ADM4) with optional GeoJSON-to-SHP conversion.</x:v>
      </x:c>
      <x:c r="D2" s="2" t="str">
        <x:v>.GaoDe_tool</x:v>
      </x:c>
      <x:c r="E2" s="7" t="str">
        <x:v>tools/GaoDe_tool.py</x:v>
      </x:c>
      <x:c r="F2" s="2" t="str">
        <x:v>2b44364483e9abc1fcd9c2b95daa111b50c000c783d890526c000de62f2c6db0</x:v>
      </x:c>
      <x:c r="G2" s="2" t="str">
        <x:v>not_exposed_to_four_role_runtime</x:v>
      </x:c>
    </x:row>
    <x:row r="3">
      <x:c r="A3" s="2" t="str">
        <x:v>GeoCode_COT_Validation_tool</x:v>
      </x:c>
      <x:c r="B3" s="2" t="str">
        <x:v>GeoCode_COT_Validation_tool</x:v>
      </x:c>
      <x:c r="C3" s="7" t="str">
        <x:v>Enhanced Geo-CodeCoT validator for geospatial Python. Performs preflight static checks (syntax, sandbox-first path protocol, GEE initialization, dataset/band and CRS risk checks), then executes one minimal code block and returns structured JSON with pass/fail…</x:v>
      </x:c>
      <x:c r="D3" s="2" t="str">
        <x:v>.NTL_Code_generation</x:v>
      </x:c>
      <x:c r="E3" s="7" t="str">
        <x:v>tools/NTL_Code_generation.py</x:v>
      </x:c>
      <x:c r="F3" s="2" t="str">
        <x:v>d25984f6a870f54ff94efa272a03e03f3c77fe59e065c0795e5bd58d2910c811</x:v>
      </x:c>
      <x:c r="G3" s="2" t="str">
        <x:v>not_exposed_to_four_role_runtime</x:v>
      </x:c>
    </x:row>
    <x:row r="4">
      <x:c r="A4" s="2" t="str">
        <x:v>GeoCode_Knowledge_Recipes_tool</x:v>
      </x:c>
      <x:c r="B4" s="2" t="str">
        <x:v>GeoCode_Knowledge_Recipes_tool</x:v>
      </x:c>
      <x:c r="C4" s="7" t="str">
        <x:v>Retrieve project-aligned geospatial coding recipes for GEE, rasterio, geopandas, and shapely. Returns runnable template code snippets and official API references for NTL workflows.</x:v>
      </x:c>
      <x:c r="D4" s="2" t="str">
        <x:v>.geocode_knowledge_tool</x:v>
      </x:c>
      <x:c r="E4" s="7" t="str">
        <x:v>tools/geocode_knowledge_tool.py</x:v>
      </x:c>
      <x:c r="F4" s="2" t="str">
        <x:v>7954e4f6162929145854025741bab13ac4bd731a23bb5ce178bc9fee54970f2f</x:v>
      </x:c>
      <x:c r="G4" s="2" t="str">
        <x:v>not_exposed_to_four_role_runtime</x:v>
      </x:c>
    </x:row>
    <x:row r="5">
      <x:c r="A5" s="2" t="str">
        <x:v>GEE_dataset_router_tool</x:v>
      </x:c>
      <x:c r="B5" s="2" t="str">
        <x:v>GEE_dataset_router_tool</x:v>
      </x:c>
      <x:c r="C5" s="7" t="str">
        <x:v>Compatibility router for older annual/monthly/daily callers. NTL requests keep the stable curated route; non-NTL or unknown explicit dataset ids delegate to GEE_request_plan_tool semantics.</x:v>
      </x:c>
      <x:c r="D5" s="2" t="str">
        <x:v>.GEE_specialist_toolkit</x:v>
      </x:c>
      <x:c r="E5" s="7" t="str">
        <x:v>tools/GEE_specialist_toolkit.py</x:v>
      </x:c>
      <x:c r="F5" s="2" t="str">
        <x:v>3008c0cbb96725301878fc2b10484c478d6d50eda99ad55cabddf0ef9ea00ef2</x:v>
      </x:c>
      <x:c r="G5" s="2" t="str">
        <x:v>not_exposed_to_four_role_runtime</x:v>
      </x:c>
    </x:row>
    <x:row r="6">
      <x:c r="A6" s="2" t="str">
        <x:v>wrap_tool_json_safe</x:v>
      </x:c>
      <x:c r="B6" s="2" t="str">
        <x:v>wrap_tool_json_safe</x:v>
      </x:c>
      <x:c r="C6" s="7" t="str"/>
      <x:c r="D6" s="2" t="str">
        <x:v>.tool_json_safety</x:v>
      </x:c>
      <x:c r="E6" s="7" t="str">
        <x:v>tools/tool_json_safety.py</x:v>
      </x:c>
      <x:c r="F6" s="2" t="str">
        <x:v>17774137b15feb467c468cbf1a6e6cfec3f5218a05c7ce8fc1efe24c0acec391</x:v>
      </x:c>
      <x:c r="G6" s="2" t="str">
        <x:v>not_exposed_to_four_role_runtime</x:v>
      </x:c>
    </x:row>
    <x:row r="7">
      <x:c r="A7" s="2" t="str">
        <x:v>conflict_ntl_agent_system_tool</x:v>
      </x:c>
      <x:c r="B7" s="2" t="str">
        <x:v>conflict_ntl_agent_system_tool</x:v>
      </x:c>
      <x:c r="C7" s="7" t="str">
        <x:v>Run the reusable ConflictNTL agent-system staging chain: event tracking/screening, AOI tasking, optional case buffer diagnostics, report generation, and VNP46A2 handoff contracts.</x:v>
      </x:c>
      <x:c r="D7" s="2" t="str">
        <x:v>.conflict_ntl</x:v>
      </x:c>
      <x:c r="E7" s="7" t="str">
        <x:v>tools/conflict_ntl.py</x:v>
      </x:c>
      <x:c r="F7" s="2" t="str">
        <x:v>f5dca3a7c19c168dede5cbb4ffd6638d2fb2e10de9ca0f9d65a4581feb4f68ea</x:v>
      </x:c>
      <x:c r="G7" s="2" t="str">
        <x:v>not_exposed_to_four_role_runtime</x:v>
      </x:c>
    </x:row>
    <x:row r="8">
      <x:c r="A8" s="2" t="str">
        <x:v>conflict_ntl_generate_analysis_units_tool</x:v>
      </x:c>
      <x:c r="B8" s="2" t="str">
        <x:v>conflict_ntl_generate_analysis_units_tool</x:v>
      </x:c>
      <x:c r="C8" s="7" t="str">
        <x:v>Generate ConflictNTL buffer/admin AOI tasks and same-day analysis units from screened events.</x:v>
      </x:c>
      <x:c r="D8" s="2" t="str">
        <x:v>.conflict_ntl</x:v>
      </x:c>
      <x:c r="E8" s="7" t="str">
        <x:v>tools/conflict_ntl.py</x:v>
      </x:c>
      <x:c r="F8" s="2" t="str">
        <x:v>f5dca3a7c19c168dede5cbb4ffd6638d2fb2e10de9ca0f9d65a4581feb4f68ea</x:v>
      </x:c>
      <x:c r="G8" s="2" t="str">
        <x:v>not_exposed_to_four_role_runtime</x:v>
      </x:c>
    </x:row>
    <x:row r="9">
      <x:c r="A9" s="2" t="str">
        <x:v>conflict_ntl_build_case_report_tool</x:v>
      </x:c>
      <x:c r="B9" s="2" t="str">
        <x:v>conflict_ntl_build_case_report_tool</x:v>
      </x:c>
      <x:c r="C9" s="7" t="str">
        <x:v>Build a compact JSON and Markdown report from ConflictNTL screening and analysis-unit outputs.</x:v>
      </x:c>
      <x:c r="D9" s="2" t="str">
        <x:v>.conflict_ntl</x:v>
      </x:c>
      <x:c r="E9" s="7" t="str">
        <x:v>tools/conflict_ntl.py</x:v>
      </x:c>
      <x:c r="F9" s="2" t="str">
        <x:v>f5dca3a7c19c168dede5cbb4ffd6638d2fb2e10de9ca0f9d65a4581feb4f68ea</x:v>
      </x:c>
      <x:c r="G9" s="2" t="str">
        <x:v>not_exposed_to_four_role_runtime</x:v>
      </x:c>
    </x:row>
    <x:row r="10">
      <x:c r="A10" s="2" t="str">
        <x:v>conflict_ntl_compare_case_buffers_tool</x:v>
      </x:c>
      <x:c r="B10" s="2" t="str">
        <x:v>conflict_ntl_compare_case_buffers_tool</x:v>
      </x:c>
      <x:c r="C10" s="7" t="str">
        <x:v>Compare selected ConflictNTL cases across multiple buffer radii using event density, source quality, target mix, and dilution-risk diagnostics.</x:v>
      </x:c>
      <x:c r="D10" s="2" t="str">
        <x:v>.conflict_ntl</x:v>
      </x:c>
      <x:c r="E10" s="7" t="str">
        <x:v>tools/conflict_ntl.py</x:v>
      </x:c>
      <x:c r="F10" s="2" t="str">
        <x:v>f5dca3a7c19c168dede5cbb4ffd6638d2fb2e10de9ca0f9d65a4581feb4f68ea</x:v>
      </x:c>
      <x:c r="G10" s="2" t="str">
        <x:v>not_exposed_to_four_role_runtime</x:v>
      </x:c>
    </x:row>
  </x:sheetData>
  <x:pageMargins left="0.7" right="0.7" top="0.75" bottom="0.75" header="0.3" footer="0.3"/>
  <x:tableParts count="1">
    <x:tablePart xmlns:r="http://schemas.openxmlformats.org/officeDocument/2006/relationships" r:id="R8a9a572cc9aa4f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25" hidden="0" customWidth="1"/>
    <x:col min="2" max="2" width="23.75" hidden="0" customWidth="1"/>
    <x:col min="3" max="3" width="45" hidden="0" customWidth="1"/>
    <x:col min="4" max="4" width="62.5" hidden="0" customWidth="1"/>
  </x:cols>
  <x:sheetData>
    <x:row r="1" ht="27" customHeight="1">
      <x:c r="A1" s="6" t="str">
        <x:v>Tool</x:v>
      </x:c>
      <x:c r="B1" s="6" t="str">
        <x:v>Class</x:v>
      </x:c>
      <x:c r="C1" s="6" t="str">
        <x:v>Roles</x:v>
      </x:c>
      <x:c r="D1" s="6" t="str">
        <x:v>Purpose</x:v>
      </x:c>
    </x:row>
    <x:row r="2">
      <x:c r="A2" s="2" t="str">
        <x:v>save_task_plan</x:v>
      </x:c>
      <x:c r="B2" s="2" t="str">
        <x:v>typed contract</x:v>
      </x:c>
      <x:c r="C2" s="7" t="str">
        <x:v>NTL_Engineer, Single-Agent</x:v>
      </x:c>
      <x:c r="D2" s="7" t="str">
        <x:v>Persist one TaskPlan.</x:v>
      </x:c>
    </x:row>
    <x:row r="3">
      <x:c r="A3" s="2" t="str">
        <x:v>save_evidence_report</x:v>
      </x:c>
      <x:c r="B3" s="2" t="str">
        <x:v>typed contract</x:v>
      </x:c>
      <x:c r="C3" s="7" t="str">
        <x:v>NTL_Engineer, Single-Agent</x:v>
      </x:c>
      <x:c r="D3" s="7" t="str">
        <x:v>Persist the final EvidenceReport when requested.</x:v>
      </x:c>
    </x:row>
    <x:row r="4">
      <x:c r="A4" s="2" t="str">
        <x:v>save_observation_package</x:v>
      </x:c>
      <x:c r="B4" s="2" t="str">
        <x:v>typed contract</x:v>
      </x:c>
      <x:c r="C4" s="7" t="str">
        <x:v>NTL_Data_Searcher, Single-Agent</x:v>
      </x:c>
      <x:c r="D4" s="7" t="str">
        <x:v>Persist an ObservationPackage.</x:v>
      </x:c>
    </x:row>
    <x:row r="5">
      <x:c r="A5" s="2" t="str">
        <x:v>save_analysis_package</x:v>
      </x:c>
      <x:c r="B5" s="2" t="str">
        <x:v>typed contract</x:v>
      </x:c>
      <x:c r="C5" s="7" t="str">
        <x:v>NTL_Analyst, Single-Agent</x:v>
      </x:c>
      <x:c r="D5" s="7" t="str">
        <x:v>Persist an AnalysisPackage.</x:v>
      </x:c>
    </x:row>
    <x:row r="6">
      <x:c r="A6" s="2" t="str">
        <x:v>save_event_context</x:v>
      </x:c>
      <x:c r="B6" s="2" t="str">
        <x:v>typed contract</x:v>
      </x:c>
      <x:c r="C6" s="7" t="str">
        <x:v>NTL_Event_Tracker, Single-Agent</x:v>
      </x:c>
      <x:c r="D6" s="7" t="str">
        <x:v>Persist an EventContext.</x:v>
      </x:c>
    </x:row>
    <x:row r="7">
      <x:c r="A7" s="2" t="str">
        <x:v>validate_contract</x:v>
      </x:c>
      <x:c r="B7" s="2" t="str">
        <x:v>typed contract</x:v>
      </x:c>
      <x:c r="C7" s="7" t="str">
        <x:v>NTL_Engineer, NTL_Data_Searcher, NTL_Analyst, NTL_Event_Tracker, Single-Agent</x:v>
      </x:c>
      <x:c r="D7" s="7" t="str">
        <x:v>Validate an opaque typed-package handle once.</x:v>
      </x:c>
    </x:row>
    <x:row r="8">
      <x:c r="A8" s="2" t="str">
        <x:v>record_route_transition</x:v>
      </x:c>
      <x:c r="B8" s="2" t="str">
        <x:v>runtime governance</x:v>
      </x:c>
      <x:c r="C8" s="7" t="str">
        <x:v>NTL_Engineer, Single-Agent</x:v>
      </x:c>
      <x:c r="D8" s="7" t="str">
        <x:v>Persist a system-governed route-state transition.</x:v>
      </x:c>
    </x:row>
    <x:row r="9">
      <x:c r="A9" s="2" t="str">
        <x:v>task</x:v>
      </x:c>
      <x:c r="B9" s="2" t="str">
        <x:v>delegation middleware</x:v>
      </x:c>
      <x:c r="C9" s="7" t="str">
        <x:v>NTL_Engineer</x:v>
      </x:c>
      <x:c r="D9" s="7" t="str">
        <x:v>Delegate a bounded assignment to one registered specialist.</x:v>
      </x:c>
    </x:row>
    <x:row r="10">
      <x:c r="A10" s="2" t="str">
        <x:v>ls</x:v>
      </x:c>
      <x:c r="B10" s="2" t="str">
        <x:v>workspace middleware</x:v>
      </x:c>
      <x:c r="C10" s="7" t="str">
        <x:v>NTL_Engineer, NTL_Data_Searcher, NTL_Analyst, NTL_Event_Tracker, Single-Agent</x:v>
      </x:c>
      <x:c r="D10" s="7" t="str">
        <x:v>List allowed workspace paths.</x:v>
      </x:c>
    </x:row>
    <x:row r="11">
      <x:c r="A11" s="2" t="str">
        <x:v>read_file</x:v>
      </x:c>
      <x:c r="B11" s="2" t="str">
        <x:v>workspace middleware</x:v>
      </x:c>
      <x:c r="C11" s="7" t="str">
        <x:v>NTL_Engineer, NTL_Data_Searcher, NTL_Analyst, NTL_Event_Tracker, Single-Agent</x:v>
      </x:c>
      <x:c r="D11" s="7" t="str">
        <x:v>Read an allowed workspace file.</x:v>
      </x:c>
    </x:row>
    <x:row r="12">
      <x:c r="A12" s="2" t="str">
        <x:v>write_file</x:v>
      </x:c>
      <x:c r="B12" s="2" t="str">
        <x:v>workspace middleware</x:v>
      </x:c>
      <x:c r="C12" s="7" t="str">
        <x:v>NTL_Engineer, NTL_Data_Searcher, NTL_Analyst, NTL_Event_Tracker, Single-Agent</x:v>
      </x:c>
      <x:c r="D12" s="7" t="str">
        <x:v>Create an allowed workspace file.</x:v>
      </x:c>
    </x:row>
    <x:row r="13">
      <x:c r="A13" s="2" t="str">
        <x:v>edit_file</x:v>
      </x:c>
      <x:c r="B13" s="2" t="str">
        <x:v>workspace middleware</x:v>
      </x:c>
      <x:c r="C13" s="7" t="str">
        <x:v>NTL_Engineer, NTL_Data_Searcher, NTL_Analyst, NTL_Event_Tracker, Single-Agent</x:v>
      </x:c>
      <x:c r="D13" s="7" t="str">
        <x:v>Edit an allowed workspace file.</x:v>
      </x:c>
    </x:row>
    <x:row r="14">
      <x:c r="A14" s="2" t="str">
        <x:v>delete</x:v>
      </x:c>
      <x:c r="B14" s="2" t="str">
        <x:v>workspace middleware</x:v>
      </x:c>
      <x:c r="C14" s="7" t="str">
        <x:v>NTL_Engineer, NTL_Data_Searcher, NTL_Analyst, NTL_Event_Tracker, Single-Agent</x:v>
      </x:c>
      <x:c r="D14" s="7" t="str">
        <x:v>Delete an allowed workspace artifact.</x:v>
      </x:c>
    </x:row>
    <x:row r="15">
      <x:c r="A15" s="2" t="str">
        <x:v>glob</x:v>
      </x:c>
      <x:c r="B15" s="2" t="str">
        <x:v>workspace middleware</x:v>
      </x:c>
      <x:c r="C15" s="7" t="str">
        <x:v>NTL_Engineer, NTL_Data_Searcher, NTL_Analyst, NTL_Event_Tracker, Single-Agent</x:v>
      </x:c>
      <x:c r="D15" s="7" t="str">
        <x:v>Resolve allowed workspace path patterns.</x:v>
      </x:c>
    </x:row>
    <x:row r="16">
      <x:c r="A16" s="2" t="str">
        <x:v>grep</x:v>
      </x:c>
      <x:c r="B16" s="2" t="str">
        <x:v>workspace middleware</x:v>
      </x:c>
      <x:c r="C16" s="7" t="str">
        <x:v>NTL_Engineer, NTL_Data_Searcher, NTL_Analyst, NTL_Event_Tracker, Single-Agent</x:v>
      </x:c>
      <x:c r="D16" s="7" t="str">
        <x:v>Search text in allowed workspace files.</x:v>
      </x:c>
    </x:row>
    <x:row r="17">
      <x:c r="A17" s="2" t="str">
        <x:v>NTL_Knowledge_Base</x:v>
      </x:c>
      <x:c r="B17" s="2" t="str">
        <x:v>supplemental RAG knowledge</x:v>
      </x:c>
      <x:c r="C17" s="7" t="str">
        <x:v>NTL_Engineer, Single-Agent</x:v>
      </x:c>
      <x:c r="D17" s="7" t="str">
        <x:v>Low-priority theory or confirmed workflow-gap retrieval; Skills remain primary.</x:v>
      </x:c>
    </x:row>
  </x:sheetData>
  <x:pageMargins left="0.7" right="0.7" top="0.75" bottom="0.75" header="0.3" footer="0.3"/>
  <x:tableParts count="1">
    <x:tablePart xmlns:r="http://schemas.openxmlformats.org/officeDocument/2006/relationships" r:id="Rcef607bc2b1947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75" hidden="0" customWidth="1"/>
    <x:col min="4" max="4" width="12.5" hidden="0" customWidth="1"/>
    <x:col min="5" max="5" width="12.5" hidden="0" customWidth="1"/>
    <x:col min="6" max="6" width="28.75" hidden="0" customWidth="1"/>
    <x:col min="7" max="7" width="13.130000114440918" hidden="0" customWidth="1"/>
    <x:col min="8" max="8" width="13.130000114440918" hidden="0" customWidth="1"/>
    <x:col min="9" max="9" width="17.5" hidden="0" customWidth="1"/>
    <x:col min="10" max="10" width="17.5" hidden="0" customWidth="1"/>
    <x:col min="11" max="11" width="13.130000114440918" hidden="0" customWidth="1"/>
    <x:col min="12" max="12" width="13.130000114440918" hidden="0" customWidth="1"/>
    <x:col min="13" max="13" width="16.25" hidden="0" customWidth="1"/>
    <x:col min="14" max="14" width="16.25" hidden="0" customWidth="1"/>
    <x:col min="15" max="15" width="62.5" hidden="0" customWidth="1"/>
    <x:col min="16" max="16" width="60" hidden="0" customWidth="1"/>
  </x:cols>
  <x:sheetData>
    <x:row r="1" ht="27" customHeight="1">
      <x:c r="A1" s="6" t="str">
        <x:v>Case</x:v>
      </x:c>
      <x:c r="B1" s="6" t="str">
        <x:v>Category</x:v>
      </x:c>
      <x:c r="C1" s="6" t="str">
        <x:v>Task</x:v>
      </x:c>
      <x:c r="D1" s="6" t="str">
        <x:v>Full result</x:v>
      </x:c>
      <x:c r="E1" s="6" t="str">
        <x:v>Single result</x:v>
      </x:c>
      <x:c r="F1" s="6" t="str">
        <x:v>Result basis</x:v>
      </x:c>
      <x:c r="G1" s="6" t="str">
        <x:v>Full LLM calls</x:v>
      </x:c>
      <x:c r="H1" s="6" t="str">
        <x:v>Single LLM calls</x:v>
      </x:c>
      <x:c r="I1" s="6" t="str">
        <x:v>Full total tokens</x:v>
      </x:c>
      <x:c r="J1" s="6" t="str">
        <x:v>Single total tokens</x:v>
      </x:c>
      <x:c r="K1" s="6" t="str">
        <x:v>Full Tool calls</x:v>
      </x:c>
      <x:c r="L1" s="6" t="str">
        <x:v>Single Tool calls</x:v>
      </x:c>
      <x:c r="M1" s="6" t="str">
        <x:v>Full wall time (s)</x:v>
      </x:c>
      <x:c r="N1" s="6" t="str">
        <x:v>Single wall time (s)</x:v>
      </x:c>
      <x:c r="O1" s="6" t="str">
        <x:v>Override evidence</x:v>
      </x:c>
      <x:c r="P1" s="6" t="str">
        <x:v>Override note</x:v>
      </x:c>
    </x:row>
    <x:row r="2">
      <x:c r="A2" s="2" t="str">
        <x:v>BV1-001</x:v>
      </x:c>
      <x:c r="B2" s="7" t="str">
        <x:v>NTL data retrieval and preprocessing</x:v>
      </x:c>
      <x:c r="C2" s="7" t="str">
        <x:v>Retrieve NPP-VIIRS-like annual NTL data for Shanghai from 2015 to 2020.</x:v>
      </x:c>
      <x:c r="D2" s="2" t="str">
        <x:v>Pass</x:v>
      </x:c>
      <x:c r="E2" s="2" t="str">
        <x:v>Pass</x:v>
      </x:c>
      <x:c r="F2" s="7" t="str">
        <x:v>final-record-20260817</x:v>
      </x:c>
      <x:c r="G2" s="8" t="n">
        <x:v>14</x:v>
      </x:c>
      <x:c r="H2" s="8" t="n">
        <x:v>35</x:v>
      </x:c>
      <x:c r="I2" s="9" t="n">
        <x:v>352358</x:v>
      </x:c>
      <x:c r="J2" s="9" t="n">
        <x:v>2600530</x:v>
      </x:c>
      <x:c r="K2" s="8" t="n">
        <x:v>23</x:v>
      </x:c>
      <x:c r="L2" s="8" t="n">
        <x:v>45</x:v>
      </x:c>
      <x:c r="M2" s="10" t="n">
        <x:v>187.54035430000022</x:v>
      </x:c>
      <x:c r="N2" s="10" t="n">
        <x:v>390.53873499999827</x:v>
      </x:c>
      <x:c r="O2" s="7" t="str"/>
      <x:c r="P2" s="7" t="str"/>
    </x:row>
    <x:row r="3">
      <x:c r="A3" s="2" t="str">
        <x:v>BV1-002</x:v>
      </x:c>
      <x:c r="B3" s="7" t="str">
        <x:v>NTL data retrieval and preprocessing</x:v>
      </x:c>
      <x:c r="C3" s="7" t="str">
        <x:v>Retrieve DMSP–OLS annual NTL data for Shanghai from 2005 to 2010.</x:v>
      </x:c>
      <x:c r="D3" s="2" t="str">
        <x:v>Fail</x:v>
      </x:c>
      <x:c r="E3" s="2" t="str">
        <x:v>Fail</x:v>
      </x:c>
      <x:c r="F3" s="7" t="str">
        <x:v>final-record-20260817</x:v>
      </x:c>
      <x:c r="G3" s="8" t="n">
        <x:v>20</x:v>
      </x:c>
      <x:c r="H3" s="8" t="n">
        <x:v>6</x:v>
      </x:c>
      <x:c r="I3" s="9" t="n">
        <x:v>558596</x:v>
      </x:c>
      <x:c r="J3" s="9" t="n">
        <x:v>209583</x:v>
      </x:c>
      <x:c r="K3" s="8" t="n">
        <x:v>31</x:v>
      </x:c>
      <x:c r="L3" s="8" t="n">
        <x:v>13</x:v>
      </x:c>
      <x:c r="M3" s="10" t="n">
        <x:v>283.0427096000003</x:v>
      </x:c>
      <x:c r="N3" s="10" t="n">
        <x:v>88.38170339999851</x:v>
      </x:c>
      <x:c r="O3" s="7" t="str"/>
      <x:c r="P3" s="7" t="str"/>
    </x:row>
    <x:row r="4">
      <x:c r="A4" s="2" t="str">
        <x:v>BV1-003</x:v>
      </x:c>
      <x:c r="B4" s="7" t="str">
        <x:v>NTL data retrieval and preprocessing</x:v>
      </x:c>
      <x:c r="C4" s="7" t="str">
        <x:v>Retrieve DMSP–OLS annual NTL data for Shanghai from 2005 to 2011 and NPP VIIRS annual NTL data for Shanghai from 2012 to 2015.</x:v>
      </x:c>
      <x:c r="D4" s="2" t="str">
        <x:v>Fail</x:v>
      </x:c>
      <x:c r="E4" s="2" t="str">
        <x:v>Fail</x:v>
      </x:c>
      <x:c r="F4" s="7" t="str">
        <x:v>final-record-20260817</x:v>
      </x:c>
      <x:c r="G4" s="8" t="n">
        <x:v>12</x:v>
      </x:c>
      <x:c r="H4" s="8" t="n">
        <x:v>8</x:v>
      </x:c>
      <x:c r="I4" s="9" t="n">
        <x:v>417498</x:v>
      </x:c>
      <x:c r="J4" s="9" t="n">
        <x:v>374388</x:v>
      </x:c>
      <x:c r="K4" s="8" t="n">
        <x:v>28</x:v>
      </x:c>
      <x:c r="L4" s="8" t="n">
        <x:v>15</x:v>
      </x:c>
      <x:c r="M4" s="10" t="n">
        <x:v>316.27536869999994</x:v>
      </x:c>
      <x:c r="N4" s="10" t="n">
        <x:v>156.11676260000058</x:v>
      </x:c>
      <x:c r="O4" s="7" t="str"/>
      <x:c r="P4" s="7" t="str"/>
    </x:row>
    <x:row r="5">
      <x:c r="A5" s="2" t="str">
        <x:v>BV1-004</x:v>
      </x:c>
      <x:c r="B5" s="7" t="str">
        <x:v>NTL data retrieval and preprocessing</x:v>
      </x:c>
      <x:c r="C5" s="7" t="str">
        <x:v>Retrieve NPP-VIIRS-like annual NTL data for Shanghai from 2010 to 2020.</x:v>
      </x:c>
      <x:c r="D5" s="2" t="str">
        <x:v>Pass</x:v>
      </x:c>
      <x:c r="E5" s="2" t="str">
        <x:v>Pass</x:v>
      </x:c>
      <x:c r="F5" s="7" t="str">
        <x:v>final-record-20260817</x:v>
      </x:c>
      <x:c r="G5" s="8" t="n">
        <x:v>13</x:v>
      </x:c>
      <x:c r="H5" s="8" t="n">
        <x:v>5</x:v>
      </x:c>
      <x:c r="I5" s="9" t="n">
        <x:v>322142</x:v>
      </x:c>
      <x:c r="J5" s="9" t="n">
        <x:v>202565</x:v>
      </x:c>
      <x:c r="K5" s="8" t="n">
        <x:v>22</x:v>
      </x:c>
      <x:c r="L5" s="8" t="n">
        <x:v>7</x:v>
      </x:c>
      <x:c r="M5" s="10" t="n">
        <x:v>229.29730310000014</x:v>
      </x:c>
      <x:c r="N5" s="10" t="n">
        <x:v>80.12757670000065</x:v>
      </x:c>
      <x:c r="O5" s="7" t="str"/>
      <x:c r="P5" s="7" t="str"/>
    </x:row>
    <x:row r="6">
      <x:c r="A6" s="2" t="str">
        <x:v>BV1-005</x:v>
      </x:c>
      <x:c r="B6" s="7" t="str">
        <x:v>NTL data retrieval and preprocessing</x:v>
      </x:c>
      <x:c r="C6" s="7" t="str">
        <x:v>Retrieve NPP VIIRS monthly NTL data for Shanghai from January to December 2020.</x:v>
      </x:c>
      <x:c r="D6" s="2" t="str">
        <x:v>Pass</x:v>
      </x:c>
      <x:c r="E6" s="2" t="str">
        <x:v>Pass</x:v>
      </x:c>
      <x:c r="F6" s="7" t="str">
        <x:v>final-record-20260817</x:v>
      </x:c>
      <x:c r="G6" s="8" t="n">
        <x:v>18</x:v>
      </x:c>
      <x:c r="H6" s="8" t="n">
        <x:v>13</x:v>
      </x:c>
      <x:c r="I6" s="9" t="n">
        <x:v>464662</x:v>
      </x:c>
      <x:c r="J6" s="9" t="n">
        <x:v>753844</x:v>
      </x:c>
      <x:c r="K6" s="8" t="n">
        <x:v>26</x:v>
      </x:c>
      <x:c r="L6" s="8" t="n">
        <x:v>21</x:v>
      </x:c>
      <x:c r="M6" s="10" t="n">
        <x:v>227.63974469999994</x:v>
      </x:c>
      <x:c r="N6" s="10" t="n">
        <x:v>251.34730700000182</x:v>
      </x:c>
      <x:c r="O6" s="7" t="str"/>
      <x:c r="P6" s="7" t="str"/>
    </x:row>
    <x:row r="7">
      <x:c r="A7" s="2" t="str">
        <x:v>BV1-006</x:v>
      </x:c>
      <x:c r="B7" s="7" t="str">
        <x:v>NTL data retrieval and preprocessing</x:v>
      </x:c>
      <x:c r="C7" s="7" t="str">
        <x:v>Retrieve NPP VIIRS VNP46A1 daily NTL data for Shanghai from December 1 to December 7, 2020.</x:v>
      </x:c>
      <x:c r="D7" s="2" t="str">
        <x:v>Fail</x:v>
      </x:c>
      <x:c r="E7" s="2" t="str">
        <x:v>Fail</x:v>
      </x:c>
      <x:c r="F7" s="7" t="str">
        <x:v>final-record-20260817</x:v>
      </x:c>
      <x:c r="G7" s="8" t="n">
        <x:v>5</x:v>
      </x:c>
      <x:c r="H7" s="8" t="n">
        <x:v>5</x:v>
      </x:c>
      <x:c r="I7" s="9" t="n">
        <x:v>123449</x:v>
      </x:c>
      <x:c r="J7" s="9" t="n">
        <x:v>204237</x:v>
      </x:c>
      <x:c r="K7" s="8" t="n">
        <x:v>9</x:v>
      </x:c>
      <x:c r="L7" s="8" t="n">
        <x:v>11</x:v>
      </x:c>
      <x:c r="M7" s="10" t="n">
        <x:v>54.341765600000144</x:v>
      </x:c>
      <x:c r="N7" s="10" t="n">
        <x:v>41.69321559999844</x:v>
      </x:c>
      <x:c r="O7" s="7" t="str"/>
      <x:c r="P7" s="7" t="str"/>
    </x:row>
    <x:row r="8">
      <x:c r="A8" s="2" t="str">
        <x:v>BV1-007</x:v>
      </x:c>
      <x:c r="B8" s="7" t="str">
        <x:v>NTL data retrieval and preprocessing</x:v>
      </x:c>
      <x:c r="C8" s="7" t="str">
        <x:v>Retrieve NPP VIIRS VNP46A2 daily NTL data for Shanghai, from January 1 to January 7, 2020.</x:v>
      </x:c>
      <x:c r="D8" s="2" t="str">
        <x:v>Pass</x:v>
      </x:c>
      <x:c r="E8" s="2" t="str">
        <x:v>Pass</x:v>
      </x:c>
      <x:c r="F8" s="7" t="str">
        <x:v>final-record-20260817</x:v>
      </x:c>
      <x:c r="G8" s="8" t="n">
        <x:v>12</x:v>
      </x:c>
      <x:c r="H8" s="8" t="n">
        <x:v>22</x:v>
      </x:c>
      <x:c r="I8" s="9" t="n">
        <x:v>217078</x:v>
      </x:c>
      <x:c r="J8" s="9" t="n">
        <x:v>1444688</x:v>
      </x:c>
      <x:c r="K8" s="8" t="n">
        <x:v>17</x:v>
      </x:c>
      <x:c r="L8" s="8" t="n">
        <x:v>32</x:v>
      </x:c>
      <x:c r="M8" s="10" t="n">
        <x:v>100.09895599999982</x:v>
      </x:c>
      <x:c r="N8" s="10" t="n">
        <x:v>282.1725094000012</x:v>
      </x:c>
      <x:c r="O8" s="7" t="str"/>
      <x:c r="P8" s="7" t="str"/>
    </x:row>
    <x:row r="9">
      <x:c r="A9" s="2" t="str">
        <x:v>BV1-008</x:v>
      </x:c>
      <x:c r="B9" s="7" t="str">
        <x:v>NTL data retrieval and preprocessing</x:v>
      </x:c>
      <x:c r="C9" s="7" t="str">
        <x:v>Retrieve NPP VIIRS annual NTL data for Shanghai in 2020, NPP VIIRS monthly NTL data for January 2020, and NPP VIIRS daily NTL data in January 1 2020.</x:v>
      </x:c>
      <x:c r="D9" s="2" t="str">
        <x:v>Pass</x:v>
      </x:c>
      <x:c r="E9" s="2" t="str">
        <x:v>Pass</x:v>
      </x:c>
      <x:c r="F9" s="7" t="str">
        <x:v>final-record-20260817</x:v>
      </x:c>
      <x:c r="G9" s="8" t="n">
        <x:v>14</x:v>
      </x:c>
      <x:c r="H9" s="8" t="n">
        <x:v>4</x:v>
      </x:c>
      <x:c r="I9" s="9" t="n">
        <x:v>560754</x:v>
      </x:c>
      <x:c r="J9" s="9" t="n">
        <x:v>180996</x:v>
      </x:c>
      <x:c r="K9" s="8" t="n">
        <x:v>33</x:v>
      </x:c>
      <x:c r="L9" s="8" t="n">
        <x:v>11</x:v>
      </x:c>
      <x:c r="M9" s="10" t="n">
        <x:v>294.7178697999998</x:v>
      </x:c>
      <x:c r="N9" s="10" t="n">
        <x:v>87.56211480000093</x:v>
      </x:c>
      <x:c r="O9" s="7" t="str"/>
      <x:c r="P9" s="7" t="str"/>
    </x:row>
    <x:row r="10">
      <x:c r="A10" s="2" t="str">
        <x:v>BV1-009</x:v>
      </x:c>
      <x:c r="B10" s="7" t="str">
        <x:v>NTL data retrieval and preprocessing</x:v>
      </x:c>
      <x:c r="C10" s="7" t="str">
        <x:v>Retrieve NPP VIIRS VNP46A2 daily NTL data for Shanghai, from Jan 1 to Jan 31, 2020,and composite them into a monthly NTL imagery</x:v>
      </x:c>
      <x:c r="D10" s="2" t="str">
        <x:v>Pass</x:v>
      </x:c>
      <x:c r="E10" s="2" t="str">
        <x:v>Pass</x:v>
      </x:c>
      <x:c r="F10" s="7" t="str">
        <x:v>final-record-20260817</x:v>
      </x:c>
      <x:c r="G10" s="8" t="n">
        <x:v>26</x:v>
      </x:c>
      <x:c r="H10" s="8" t="n">
        <x:v>28</x:v>
      </x:c>
      <x:c r="I10" s="9" t="n">
        <x:v>871019</x:v>
      </x:c>
      <x:c r="J10" s="9" t="n">
        <x:v>2411387</x:v>
      </x:c>
      <x:c r="K10" s="8" t="n">
        <x:v>35</x:v>
      </x:c>
      <x:c r="L10" s="8" t="n">
        <x:v>40</x:v>
      </x:c>
      <x:c r="M10" s="10" t="n">
        <x:v>336.0332348000002</x:v>
      </x:c>
      <x:c r="N10" s="10" t="n">
        <x:v>535.6376872000001</x:v>
      </x:c>
      <x:c r="O10" s="7" t="str"/>
      <x:c r="P10" s="7" t="str"/>
    </x:row>
    <x:row r="11">
      <x:c r="A11" s="2" t="str">
        <x:v>BV1-010</x:v>
      </x:c>
      <x:c r="B11" s="7" t="str">
        <x:v>NTL data retrieval and preprocessing</x:v>
      </x:c>
      <x:c r="C11" s="7" t="str">
        <x:v>Composite VNP46A2 NTL data for Shanghai on all weekends of Jan 2020 into a single image.</x:v>
      </x:c>
      <x:c r="D11" s="2" t="str">
        <x:v>Pass</x:v>
      </x:c>
      <x:c r="E11" s="2" t="str">
        <x:v>Pass</x:v>
      </x:c>
      <x:c r="F11" s="7" t="str">
        <x:v>final-record-20260817</x:v>
      </x:c>
      <x:c r="G11" s="8" t="n">
        <x:v>16</x:v>
      </x:c>
      <x:c r="H11" s="8" t="n">
        <x:v>9</x:v>
      </x:c>
      <x:c r="I11" s="9" t="n">
        <x:v>413836</x:v>
      </x:c>
      <x:c r="J11" s="9" t="n">
        <x:v>493070</x:v>
      </x:c>
      <x:c r="K11" s="8" t="n">
        <x:v>27</x:v>
      </x:c>
      <x:c r="L11" s="8" t="n">
        <x:v>21</x:v>
      </x:c>
      <x:c r="M11" s="10" t="n">
        <x:v>165.7934977999994</x:v>
      </x:c>
      <x:c r="N11" s="10" t="n">
        <x:v>164.0528145999997</x:v>
      </x:c>
      <x:c r="O11" s="7" t="str"/>
      <x:c r="P11" s="7" t="str"/>
    </x:row>
    <x:row r="12">
      <x:c r="A12" s="2" t="str">
        <x:v>BV1-011</x:v>
      </x:c>
      <x:c r="B12" s="7" t="str">
        <x:v>NTL data retrieval and preprocessing</x:v>
      </x:c>
      <x:c r="C12" s="7" t="str">
        <x:v>Retrieve VNP46A2 daily NTL imagery of Beijing during the 2022 Winter Olympics.</x:v>
      </x:c>
      <x:c r="D12" s="2" t="str">
        <x:v>Pass</x:v>
      </x:c>
      <x:c r="E12" s="2" t="str">
        <x:v>Pass</x:v>
      </x:c>
      <x:c r="F12" s="7" t="str">
        <x:v>final-record-20260817</x:v>
      </x:c>
      <x:c r="G12" s="8" t="n">
        <x:v>12</x:v>
      </x:c>
      <x:c r="H12" s="8" t="n">
        <x:v>69</x:v>
      </x:c>
      <x:c r="I12" s="9" t="n">
        <x:v>371132</x:v>
      </x:c>
      <x:c r="J12" s="9" t="n">
        <x:v>7036049</x:v>
      </x:c>
      <x:c r="K12" s="8" t="n">
        <x:v>21</x:v>
      </x:c>
      <x:c r="L12" s="8" t="n">
        <x:v>88</x:v>
      </x:c>
      <x:c r="M12" s="10" t="n">
        <x:v>305.3162597999999</x:v>
      </x:c>
      <x:c r="N12" s="10" t="n">
        <x:v>1226.340884600002</x:v>
      </x:c>
      <x:c r="O12" s="7" t="str"/>
      <x:c r="P12" s="7" t="str"/>
    </x:row>
    <x:row r="13">
      <x:c r="A13" s="2" t="str">
        <x:v>BV1-012</x:v>
      </x:c>
      <x:c r="B13" s="7" t="str">
        <x:v>NTL data retrieval and preprocessing</x:v>
      </x:c>
      <x:c r="C13" s="7" t="str">
        <x:v>Retrieve LandScan population imagery for Shanghai in 2020.</x:v>
      </x:c>
      <x:c r="D13" s="2" t="str">
        <x:v>Pass</x:v>
      </x:c>
      <x:c r="E13" s="2" t="str">
        <x:v>Pass</x:v>
      </x:c>
      <x:c r="F13" s="7" t="str">
        <x:v>final-record-20260817</x:v>
      </x:c>
      <x:c r="G13" s="8" t="n">
        <x:v>18</x:v>
      </x:c>
      <x:c r="H13" s="8" t="n">
        <x:v>13</x:v>
      </x:c>
      <x:c r="I13" s="9" t="n">
        <x:v>525304</x:v>
      </x:c>
      <x:c r="J13" s="9" t="n">
        <x:v>604589</x:v>
      </x:c>
      <x:c r="K13" s="8" t="n">
        <x:v>23</x:v>
      </x:c>
      <x:c r="L13" s="8" t="n">
        <x:v>18</x:v>
      </x:c>
      <x:c r="M13" s="10" t="n">
        <x:v>167.78764760000013</x:v>
      </x:c>
      <x:c r="N13" s="10" t="n">
        <x:v>120.1499756000012</x:v>
      </x:c>
      <x:c r="O13" s="7" t="str"/>
      <x:c r="P13" s="7" t="str"/>
    </x:row>
    <x:row r="14">
      <x:c r="A14" s="2" t="str">
        <x:v>BV1-013</x:v>
      </x:c>
      <x:c r="B14" s="7" t="str">
        <x:v>NTL data retrieval and preprocessing</x:v>
      </x:c>
      <x:c r="C14" s="7" t="str">
        <x:v>Retrieve MODIS MOD13Q1 NDVI data for Shanghai in 2020.</x:v>
      </x:c>
      <x:c r="D14" s="2" t="str">
        <x:v>Pass</x:v>
      </x:c>
      <x:c r="E14" s="2" t="str">
        <x:v>Pass</x:v>
      </x:c>
      <x:c r="F14" s="7" t="str">
        <x:v>final-record-20260817</x:v>
      </x:c>
      <x:c r="G14" s="8" t="n">
        <x:v>15</x:v>
      </x:c>
      <x:c r="H14" s="8" t="n">
        <x:v>21</x:v>
      </x:c>
      <x:c r="I14" s="9" t="n">
        <x:v>512813</x:v>
      </x:c>
      <x:c r="J14" s="9" t="n">
        <x:v>1056069</x:v>
      </x:c>
      <x:c r="K14" s="8" t="n">
        <x:v>46</x:v>
      </x:c>
      <x:c r="L14" s="8" t="n">
        <x:v>27</x:v>
      </x:c>
      <x:c r="M14" s="10" t="n">
        <x:v>302.3076355000003</x:v>
      </x:c>
      <x:c r="N14" s="10" t="n">
        <x:v>250.89966389999972</x:v>
      </x:c>
      <x:c r="O14" s="7" t="str"/>
      <x:c r="P14" s="7" t="str"/>
    </x:row>
    <x:row r="15">
      <x:c r="A15" s="2" t="str">
        <x:v>BV1-014</x:v>
      </x:c>
      <x:c r="B15" s="7" t="str">
        <x:v>NTL data retrieval and preprocessing</x:v>
      </x:c>
      <x:c r="C15" s="7" t="str">
        <x:v>Retrieve event records related to the 2023 Turkey earthquake from the GDELT Event Database.</x:v>
      </x:c>
      <x:c r="D15" s="2" t="str">
        <x:v>Fail</x:v>
      </x:c>
      <x:c r="E15" s="2" t="str">
        <x:v>Fail</x:v>
      </x:c>
      <x:c r="F15" s="7" t="str">
        <x:v>final-record-20260817</x:v>
      </x:c>
      <x:c r="G15" s="8" t="n">
        <x:v>14</x:v>
      </x:c>
      <x:c r="H15" s="8" t="n">
        <x:v>4</x:v>
      </x:c>
      <x:c r="I15" s="9" t="n">
        <x:v>420930</x:v>
      </x:c>
      <x:c r="J15" s="9" t="n">
        <x:v>211476</x:v>
      </x:c>
      <x:c r="K15" s="8" t="n">
        <x:v>28</x:v>
      </x:c>
      <x:c r="L15" s="8" t="n">
        <x:v>5</x:v>
      </x:c>
      <x:c r="M15" s="10" t="n">
        <x:v>383.5921056999996</x:v>
      </x:c>
      <x:c r="N15" s="10" t="n">
        <x:v>172.54336300000068</x:v>
      </x:c>
      <x:c r="O15" s="7" t="str"/>
      <x:c r="P15" s="7" t="str"/>
    </x:row>
    <x:row r="16">
      <x:c r="A16" s="2" t="str">
        <x:v>BV1-015</x:v>
      </x:c>
      <x:c r="B16" s="7" t="str">
        <x:v>NTL data retrieval and preprocessing</x:v>
      </x:c>
      <x:c r="C16" s="7" t="str">
        <x:v>Retrieve event information about 2025 Myanmar earthquake from USGS and ReliefWeb.</x:v>
      </x:c>
      <x:c r="D16" s="2" t="str">
        <x:v>Pass</x:v>
      </x:c>
      <x:c r="E16" s="2" t="str">
        <x:v>Pass</x:v>
      </x:c>
      <x:c r="F16" s="7" t="str">
        <x:v>final-record-20260817</x:v>
      </x:c>
      <x:c r="G16" s="8" t="n">
        <x:v>18</x:v>
      </x:c>
      <x:c r="H16" s="8" t="n">
        <x:v>15</x:v>
      </x:c>
      <x:c r="I16" s="9" t="n">
        <x:v>368381</x:v>
      </x:c>
      <x:c r="J16" s="9" t="n">
        <x:v>1066422</x:v>
      </x:c>
      <x:c r="K16" s="8" t="n">
        <x:v>32</x:v>
      </x:c>
      <x:c r="L16" s="8" t="n">
        <x:v>27</x:v>
      </x:c>
      <x:c r="M16" s="10" t="n">
        <x:v>166.90311829999973</x:v>
      </x:c>
      <x:c r="N16" s="10" t="n">
        <x:v>269.4315504999977</x:v>
      </x:c>
      <x:c r="O16" s="7" t="str"/>
      <x:c r="P16" s="7" t="str"/>
    </x:row>
    <x:row r="17">
      <x:c r="A17" s="2" t="str">
        <x:v>BV1-016</x:v>
      </x:c>
      <x:c r="B17" s="7" t="str">
        <x:v>NTL data retrieval and preprocessing</x:v>
      </x:c>
      <x:c r="C17" s="7" t="str">
        <x:v>Retrieve Shanghai's administrative boundary from Amap.</x:v>
      </x:c>
      <x:c r="D17" s="2" t="str">
        <x:v>Pass</x:v>
      </x:c>
      <x:c r="E17" s="2" t="str">
        <x:v>Pass</x:v>
      </x:c>
      <x:c r="F17" s="7" t="str">
        <x:v>final-record-20260817</x:v>
      </x:c>
      <x:c r="G17" s="8" t="n">
        <x:v>5</x:v>
      </x:c>
      <x:c r="H17" s="8" t="n">
        <x:v>3</x:v>
      </x:c>
      <x:c r="I17" s="9" t="n">
        <x:v>104421</x:v>
      </x:c>
      <x:c r="J17" s="9" t="n">
        <x:v>114655</x:v>
      </x:c>
      <x:c r="K17" s="8" t="n">
        <x:v>3</x:v>
      </x:c>
      <x:c r="L17" s="8" t="n">
        <x:v>3</x:v>
      </x:c>
      <x:c r="M17" s="10" t="n">
        <x:v>51.12909320000017</x:v>
      </x:c>
      <x:c r="N17" s="10" t="n">
        <x:v>23.09418319999895</x:v>
      </x:c>
      <x:c r="O17" s="7" t="str"/>
      <x:c r="P17" s="7" t="str"/>
    </x:row>
    <x:row r="18">
      <x:c r="A18" s="2" t="str">
        <x:v>BV1-017</x:v>
      </x:c>
      <x:c r="B18" s="7" t="str">
        <x:v>NTL data retrieval and preprocessing</x:v>
      </x:c>
      <x:c r="C18" s="7" t="str">
        <x:v>Retrieve POI data within 200 meters of the Oriental Pearl Tower from Amap.</x:v>
      </x:c>
      <x:c r="D18" s="2" t="str">
        <x:v>Pass</x:v>
      </x:c>
      <x:c r="E18" s="2" t="str">
        <x:v>Pass</x:v>
      </x:c>
      <x:c r="F18" s="7" t="str">
        <x:v>final-record-20260817</x:v>
      </x:c>
      <x:c r="G18" s="8" t="n">
        <x:v>11</x:v>
      </x:c>
      <x:c r="H18" s="8" t="n">
        <x:v>9</x:v>
      </x:c>
      <x:c r="I18" s="9" t="n">
        <x:v>248889</x:v>
      </x:c>
      <x:c r="J18" s="9" t="n">
        <x:v>370317</x:v>
      </x:c>
      <x:c r="K18" s="8" t="n">
        <x:v>13</x:v>
      </x:c>
      <x:c r="L18" s="8" t="n">
        <x:v>10</x:v>
      </x:c>
      <x:c r="M18" s="10" t="n">
        <x:v>101.57296159999987</x:v>
      </x:c>
      <x:c r="N18" s="10" t="n">
        <x:v>59.23924139999872</x:v>
      </x:c>
      <x:c r="O18" s="7" t="str"/>
      <x:c r="P18" s="7" t="str"/>
    </x:row>
    <x:row r="19">
      <x:c r="A19" s="2" t="str">
        <x:v>BV1-018</x:v>
      </x:c>
      <x:c r="B19" s="7" t="str">
        <x:v>NTL data retrieval and preprocessing</x:v>
      </x:c>
      <x:c r="C19" s="7" t="str">
        <x:v>Retrieve coordinates for the Oriental Pearl Tower in Shanghai.</x:v>
      </x:c>
      <x:c r="D19" s="2" t="str">
        <x:v>Pass</x:v>
      </x:c>
      <x:c r="E19" s="2" t="str">
        <x:v>Pass</x:v>
      </x:c>
      <x:c r="F19" s="7" t="str">
        <x:v>final-record-20260817</x:v>
      </x:c>
      <x:c r="G19" s="8" t="n">
        <x:v>5</x:v>
      </x:c>
      <x:c r="H19" s="8" t="n">
        <x:v>4</x:v>
      </x:c>
      <x:c r="I19" s="9" t="n">
        <x:v>106482</x:v>
      </x:c>
      <x:c r="J19" s="9" t="n">
        <x:v>152039</x:v>
      </x:c>
      <x:c r="K19" s="8" t="n">
        <x:v>5</x:v>
      </x:c>
      <x:c r="L19" s="8" t="n">
        <x:v>3</x:v>
      </x:c>
      <x:c r="M19" s="10" t="n">
        <x:v>77.90286000000015</x:v>
      </x:c>
      <x:c r="N19" s="10" t="n">
        <x:v>28.534786600001098</x:v>
      </x:c>
      <x:c r="O19" s="7" t="str"/>
      <x:c r="P19" s="7" t="str"/>
    </x:row>
    <x:row r="20">
      <x:c r="A20" s="2" t="str">
        <x:v>BV1-019</x:v>
      </x:c>
      <x:c r="B20" s="7" t="str">
        <x:v>NTL data retrieval and preprocessing</x:v>
      </x:c>
      <x:c r="C20" s="7" t="str">
        <x:v>Use Google Earth Engine to correct the angle effect in Shanghai's 2024 daily VNP46A2 NTL and output the corrected daily series, summary statistics, and method metadata without bulk-downloading the daily rasters locally.</x:v>
      </x:c>
      <x:c r="D20" s="2" t="str">
        <x:v>Pass</x:v>
      </x:c>
      <x:c r="E20" s="2" t="str">
        <x:v>Pass</x:v>
      </x:c>
      <x:c r="F20" s="7" t="str">
        <x:v>final-record-20260817</x:v>
      </x:c>
      <x:c r="G20" s="8" t="n">
        <x:v>12</x:v>
      </x:c>
      <x:c r="H20" s="8" t="n">
        <x:v>17</x:v>
      </x:c>
      <x:c r="I20" s="9" t="n">
        <x:v>471662</x:v>
      </x:c>
      <x:c r="J20" s="9" t="n">
        <x:v>1058720</x:v>
      </x:c>
      <x:c r="K20" s="8" t="n">
        <x:v>19</x:v>
      </x:c>
      <x:c r="L20" s="8" t="n">
        <x:v>25</x:v>
      </x:c>
      <x:c r="M20" s="10" t="n">
        <x:v>1120.0790164</x:v>
      </x:c>
      <x:c r="N20" s="10" t="n">
        <x:v>742.3044498999989</x:v>
      </x:c>
      <x:c r="O20" s="7" t="str"/>
      <x:c r="P20" s="7" t="str"/>
    </x:row>
    <x:row r="21">
      <x:c r="A21" s="2" t="str">
        <x:v>BV1-020</x:v>
      </x:c>
      <x:c r="B21" s="7" t="str">
        <x:v>NTL data retrieval and preprocessing</x:v>
      </x:c>
      <x:c r="C21" s="7" t="str">
        <x:v>Using the provided fixture inputs/vnp46a2_seasonal_fixture.csv, call VNP46A2_seasonal_adjustment_tool with fit period 2019-01-01 to 2023-12-31 and output period 2024-01-01 to 2024-12-31. Verify a complete 366-row daily output, preserve raw ANTL and QA columns, mark missing 2024-06-01 and low-quality 2024-08-01 as filled, mark the 2024-05-05 spike as an outlier, and write metadata JSON. Do not perform viewing-angle correction.</x:v>
      </x:c>
      <x:c r="D21" s="2" t="str">
        <x:v>Pass</x:v>
      </x:c>
      <x:c r="E21" s="2" t="str">
        <x:v>Pass</x:v>
      </x:c>
      <x:c r="F21" s="7" t="str">
        <x:v>final-record-20260817</x:v>
      </x:c>
      <x:c r="G21" s="8" t="n">
        <x:v>36</x:v>
      </x:c>
      <x:c r="H21" s="8" t="n">
        <x:v>15</x:v>
      </x:c>
      <x:c r="I21" s="9" t="n">
        <x:v>998874</x:v>
      </x:c>
      <x:c r="J21" s="9" t="n">
        <x:v>708765</x:v>
      </x:c>
      <x:c r="K21" s="8" t="n">
        <x:v>87</x:v>
      </x:c>
      <x:c r="L21" s="8" t="n">
        <x:v>26</x:v>
      </x:c>
      <x:c r="M21" s="10" t="n">
        <x:v>447.7185964</x:v>
      </x:c>
      <x:c r="N21" s="10" t="n">
        <x:v>121.02368799999749</x:v>
      </x:c>
      <x:c r="O21" s="7" t="str"/>
      <x:c r="P21" s="7" t="str"/>
    </x:row>
    <x:row r="22">
      <x:c r="A22" s="2" t="str">
        <x:v>BV1-021</x:v>
      </x:c>
      <x:c r="B22" s="7" t="str">
        <x:v>NTL data retrieval and preprocessing</x:v>
      </x:c>
      <x:c r="C22" s="7" t="str">
        <x:v>Preprocess the 2010 DMSP NTL data for Shanghai using EVI imagery</x:v>
      </x:c>
      <x:c r="D22" s="2" t="str">
        <x:v>Pass</x:v>
      </x:c>
      <x:c r="E22" s="2" t="str">
        <x:v>Pass</x:v>
      </x:c>
      <x:c r="F22" s="7" t="str">
        <x:v>final-record-20260817</x:v>
      </x:c>
      <x:c r="G22" s="8" t="n">
        <x:v>18</x:v>
      </x:c>
      <x:c r="H22" s="8" t="n">
        <x:v>10</x:v>
      </x:c>
      <x:c r="I22" s="9" t="n">
        <x:v>458709</x:v>
      </x:c>
      <x:c r="J22" s="9" t="n">
        <x:v>430447</x:v>
      </x:c>
      <x:c r="K22" s="8" t="n">
        <x:v>29</x:v>
      </x:c>
      <x:c r="L22" s="8" t="n">
        <x:v>10</x:v>
      </x:c>
      <x:c r="M22" s="10" t="n">
        <x:v>244.94986680000056</x:v>
      </x:c>
      <x:c r="N22" s="10" t="n">
        <x:v>62.70145390000107</x:v>
      </x:c>
      <x:c r="O22" s="7" t="str"/>
      <x:c r="P22" s="7" t="str"/>
    </x:row>
    <x:row r="23">
      <x:c r="A23" s="2" t="str">
        <x:v>BV1-022</x:v>
      </x:c>
      <x:c r="B23" s="7" t="str">
        <x:v>NTL data retrieval and preprocessing</x:v>
      </x:c>
      <x:c r="C23" s="7" t="str">
        <x:v>Perform stripe noise removal on SDGSAT-1 GLI image at inputs/.</x:v>
      </x:c>
      <x:c r="D23" s="2" t="str">
        <x:v>Pass</x:v>
      </x:c>
      <x:c r="E23" s="2" t="str">
        <x:v>Pass</x:v>
      </x:c>
      <x:c r="F23" s="7" t="str">
        <x:v>final-record-20260817</x:v>
      </x:c>
      <x:c r="G23" s="8" t="n">
        <x:v>16</x:v>
      </x:c>
      <x:c r="H23" s="8" t="n">
        <x:v>5</x:v>
      </x:c>
      <x:c r="I23" s="9" t="n">
        <x:v>399781</x:v>
      </x:c>
      <x:c r="J23" s="9" t="n">
        <x:v>195084</x:v>
      </x:c>
      <x:c r="K23" s="8" t="n">
        <x:v>29</x:v>
      </x:c>
      <x:c r="L23" s="8" t="n">
        <x:v>7</x:v>
      </x:c>
      <x:c r="M23" s="10" t="n">
        <x:v>175.48760050000055</x:v>
      </x:c>
      <x:c r="N23" s="10" t="n">
        <x:v>31.010705900000175</x:v>
      </x:c>
      <x:c r="O23" s="7" t="str"/>
      <x:c r="P23" s="7" t="str"/>
    </x:row>
    <x:row r="24">
      <x:c r="A24" s="2" t="str">
        <x:v>BV1-023</x:v>
      </x:c>
      <x:c r="B24" s="7" t="str">
        <x:v>NTL data retrieval and preprocessing</x:v>
      </x:c>
      <x:c r="C24" s="7" t="str">
        <x:v>Perform radiometric calibration on SDGSAT-1 GLI image at inputs/.</x:v>
      </x:c>
      <x:c r="D24" s="2" t="str">
        <x:v>Pass</x:v>
      </x:c>
      <x:c r="E24" s="2" t="str">
        <x:v>Pass</x:v>
      </x:c>
      <x:c r="F24" s="7" t="str">
        <x:v>final-record-20260817</x:v>
      </x:c>
      <x:c r="G24" s="8" t="n">
        <x:v>24</x:v>
      </x:c>
      <x:c r="H24" s="8" t="n">
        <x:v>6</x:v>
      </x:c>
      <x:c r="I24" s="9" t="n">
        <x:v>576974</x:v>
      </x:c>
      <x:c r="J24" s="9" t="n">
        <x:v>249511</x:v>
      </x:c>
      <x:c r="K24" s="8" t="n">
        <x:v>40</x:v>
      </x:c>
      <x:c r="L24" s="8" t="n">
        <x:v>8</x:v>
      </x:c>
      <x:c r="M24" s="10" t="n">
        <x:v>203.2897856999998</x:v>
      </x:c>
      <x:c r="N24" s="10" t="n">
        <x:v>59.07422399999996</x:v>
      </x:c>
      <x:c r="O24" s="7" t="str"/>
      <x:c r="P24" s="7" t="str"/>
    </x:row>
    <x:row r="25">
      <x:c r="A25" s="2" t="str">
        <x:v>BV1-024</x:v>
      </x:c>
      <x:c r="B25" s="7" t="str">
        <x:v>NTL data retrieval and preprocessing</x:v>
      </x:c>
      <x:c r="C25" s="7" t="str">
        <x:v>Create grayscale brightness image using SDGSAT-1 GLI image at inputs/.</x:v>
      </x:c>
      <x:c r="D25" s="2" t="str">
        <x:v>Pass</x:v>
      </x:c>
      <x:c r="E25" s="2" t="str">
        <x:v>Fail</x:v>
      </x:c>
      <x:c r="F25" s="7" t="str">
        <x:v>final-record-20260817</x:v>
      </x:c>
      <x:c r="G25" s="8" t="n">
        <x:v>9</x:v>
      </x:c>
      <x:c r="H25" s="8" t="n">
        <x:v>5</x:v>
      </x:c>
      <x:c r="I25" s="9" t="n">
        <x:v>178286</x:v>
      </x:c>
      <x:c r="J25" s="9" t="n">
        <x:v>194461</x:v>
      </x:c>
      <x:c r="K25" s="8" t="n">
        <x:v>12</x:v>
      </x:c>
      <x:c r="L25" s="8" t="n">
        <x:v>7</x:v>
      </x:c>
      <x:c r="M25" s="10" t="n">
        <x:v>75.54408180000064</x:v>
      </x:c>
      <x:c r="N25" s="10" t="n">
        <x:v>31.320566900001722</x:v>
      </x:c>
      <x:c r="O25" s="7" t="str"/>
      <x:c r="P25" s="7" t="str"/>
    </x:row>
    <x:row r="26">
      <x:c r="A26" s="2" t="str">
        <x:v>BV1-025</x:v>
      </x:c>
      <x:c r="B26" s="7" t="str">
        <x:v>NTL data retrieval and preprocessing</x:v>
      </x:c>
      <x:c r="C26" s="7" t="str">
        <x:v>Preprocess NOAA-20 VIIRS data saved in inputs/NOAA20.</x:v>
      </x:c>
      <x:c r="D26" s="2" t="str">
        <x:v>Fail</x:v>
      </x:c>
      <x:c r="E26" s="2" t="str">
        <x:v>Fail</x:v>
      </x:c>
      <x:c r="F26" s="7" t="str">
        <x:v>final-record-20260817</x:v>
      </x:c>
      <x:c r="G26" s="8" t="n">
        <x:v>10</x:v>
      </x:c>
      <x:c r="H26" s="8" t="n">
        <x:v>8</x:v>
      </x:c>
      <x:c r="I26" s="9" t="n">
        <x:v>196682</x:v>
      </x:c>
      <x:c r="J26" s="9" t="n">
        <x:v>329094</x:v>
      </x:c>
      <x:c r="K26" s="8" t="n">
        <x:v>21</x:v>
      </x:c>
      <x:c r="L26" s="8" t="n">
        <x:v>15</x:v>
      </x:c>
      <x:c r="M26" s="10" t="n">
        <x:v>90.96301570000014</x:v>
      </x:c>
      <x:c r="N26" s="10" t="n">
        <x:v>69.71438690000286</x:v>
      </x:c>
      <x:c r="O26" s="7" t="str"/>
      <x:c r="P26" s="7" t="str"/>
    </x:row>
    <x:row r="27">
      <x:c r="A27" s="2" t="str">
        <x:v>BV1-026</x:v>
      </x:c>
      <x:c r="B27" s="7" t="str">
        <x:v>NTL data retrieval and preprocessing</x:v>
      </x:c>
      <x:c r="C27" s="7" t="str">
        <x:v>Calculate VNCI using the NPP-VIIRS-like NTL and NDVI images for Shanghai in 2020.</x:v>
      </x:c>
      <x:c r="D27" s="2" t="str">
        <x:v>Pass</x:v>
      </x:c>
      <x:c r="E27" s="2" t="str">
        <x:v>Pass</x:v>
      </x:c>
      <x:c r="F27" s="7" t="str">
        <x:v>final-record-20260817</x:v>
      </x:c>
      <x:c r="G27" s="8" t="n">
        <x:v>32</x:v>
      </x:c>
      <x:c r="H27" s="8" t="n">
        <x:v>14</x:v>
      </x:c>
      <x:c r="I27" s="9" t="n">
        <x:v>959094</x:v>
      </x:c>
      <x:c r="J27" s="9" t="n">
        <x:v>753520</x:v>
      </x:c>
      <x:c r="K27" s="8" t="n">
        <x:v>57</x:v>
      </x:c>
      <x:c r="L27" s="8" t="n">
        <x:v>22</x:v>
      </x:c>
      <x:c r="M27" s="10" t="n">
        <x:v>511.4260228000003</x:v>
      </x:c>
      <x:c r="N27" s="10" t="n">
        <x:v>199.64986670000144</x:v>
      </x:c>
      <x:c r="O27" s="7" t="str"/>
      <x:c r="P27" s="7" t="str"/>
    </x:row>
    <x:row r="28">
      <x:c r="A28" s="2" t="str">
        <x:v>BV1-027</x:v>
      </x:c>
      <x:c r="B28" s="7" t="str">
        <x:v>NTL data retrieval and preprocessing</x:v>
      </x:c>
      <x:c r="C28" s="7" t="str">
        <x:v>Calculate NDIGR using the SDGSAT-1 GLI image at inputs/.</x:v>
      </x:c>
      <x:c r="D28" s="2" t="str">
        <x:v>Pass</x:v>
      </x:c>
      <x:c r="E28" s="2" t="str">
        <x:v>Fail</x:v>
      </x:c>
      <x:c r="F28" s="7" t="str">
        <x:v>final-record-20260817</x:v>
      </x:c>
      <x:c r="G28" s="8" t="n">
        <x:v>27</x:v>
      </x:c>
      <x:c r="H28" s="8" t="n">
        <x:v>3</x:v>
      </x:c>
      <x:c r="I28" s="9" t="n">
        <x:v>588978</x:v>
      </x:c>
      <x:c r="J28" s="9" t="n">
        <x:v>113202</x:v>
      </x:c>
      <x:c r="K28" s="8" t="n">
        <x:v>42</x:v>
      </x:c>
      <x:c r="L28" s="8" t="n">
        <x:v>4</x:v>
      </x:c>
      <x:c r="M28" s="10" t="n">
        <x:v>229.44297089999964</x:v>
      </x:c>
      <x:c r="N28" s="10" t="n">
        <x:v>19.518585199999507</x:v>
      </x:c>
      <x:c r="O28" s="7" t="str"/>
      <x:c r="P28" s="7" t="str"/>
    </x:row>
    <x:row r="29">
      <x:c r="A29" s="2" t="str">
        <x:v>BV1-028</x:v>
      </x:c>
      <x:c r="B29" s="7" t="str">
        <x:v>NTL data retrieval and preprocessing</x:v>
      </x:c>
      <x:c r="C29" s="7" t="str">
        <x:v>Calculate NDIBG using the SDGSAT-1 GLI image at inputs/.</x:v>
      </x:c>
      <x:c r="D29" s="2" t="str">
        <x:v>Pass</x:v>
      </x:c>
      <x:c r="E29" s="2" t="str">
        <x:v>Fail</x:v>
      </x:c>
      <x:c r="F29" s="7" t="str">
        <x:v>final-record-20260817</x:v>
      </x:c>
      <x:c r="G29" s="8" t="n">
        <x:v>18</x:v>
      </x:c>
      <x:c r="H29" s="8" t="n">
        <x:v>4</x:v>
      </x:c>
      <x:c r="I29" s="9" t="n">
        <x:v>450576</x:v>
      </x:c>
      <x:c r="J29" s="9" t="n">
        <x:v>155995</x:v>
      </x:c>
      <x:c r="K29" s="8" t="n">
        <x:v>28</x:v>
      </x:c>
      <x:c r="L29" s="8" t="n">
        <x:v>6</x:v>
      </x:c>
      <x:c r="M29" s="10" t="n">
        <x:v>232.6488691000004</x:v>
      </x:c>
      <x:c r="N29" s="10" t="n">
        <x:v>28.823728100000153</x:v>
      </x:c>
      <x:c r="O29" s="7" t="str"/>
      <x:c r="P29" s="7" t="str"/>
    </x:row>
    <x:row r="30">
      <x:c r="A30" s="2" t="str">
        <x:v>BV1-029</x:v>
      </x:c>
      <x:c r="B30" s="7" t="str">
        <x:v>NTL data retrieval and preprocessing</x:v>
      </x:c>
      <x:c r="C30" s="7" t="str">
        <x:v>Calculate RRLI using the SDGSAT-1 GLI image at inputs/.</x:v>
      </x:c>
      <x:c r="D30" s="2" t="str">
        <x:v>Pass</x:v>
      </x:c>
      <x:c r="E30" s="2" t="str">
        <x:v>Pass</x:v>
      </x:c>
      <x:c r="F30" s="7" t="str">
        <x:v>final-record-20260817</x:v>
      </x:c>
      <x:c r="G30" s="8" t="n">
        <x:v>16</x:v>
      </x:c>
      <x:c r="H30" s="8" t="n">
        <x:v>9</x:v>
      </x:c>
      <x:c r="I30" s="9" t="n">
        <x:v>283511</x:v>
      </x:c>
      <x:c r="J30" s="9" t="n">
        <x:v>395395</x:v>
      </x:c>
      <x:c r="K30" s="8" t="n">
        <x:v>20</x:v>
      </x:c>
      <x:c r="L30" s="8" t="n">
        <x:v>13</x:v>
      </x:c>
      <x:c r="M30" s="10" t="n">
        <x:v>103.60702650000076</x:v>
      </x:c>
      <x:c r="N30" s="10" t="n">
        <x:v>83.53681000000142</x:v>
      </x:c>
      <x:c r="O30" s="7" t="str"/>
      <x:c r="P30" s="7" t="str"/>
    </x:row>
    <x:row r="31">
      <x:c r="A31" s="2" t="str">
        <x:v>BV1-030</x:v>
      </x:c>
      <x:c r="B31" s="7" t="str">
        <x:v>NTL data retrieval and preprocessing</x:v>
      </x:c>
      <x:c r="C31" s="7" t="str">
        <x:v>Calculate RBLI using the SDGSAT-1 GLI image at inputs/.</x:v>
      </x:c>
      <x:c r="D31" s="2" t="str">
        <x:v>Pass</x:v>
      </x:c>
      <x:c r="E31" s="2" t="str">
        <x:v>Fail</x:v>
      </x:c>
      <x:c r="F31" s="7" t="str">
        <x:v>final-record-20260817</x:v>
      </x:c>
      <x:c r="G31" s="8" t="n">
        <x:v>15</x:v>
      </x:c>
      <x:c r="H31" s="8" t="n">
        <x:v>3</x:v>
      </x:c>
      <x:c r="I31" s="9" t="n">
        <x:v>290597</x:v>
      </x:c>
      <x:c r="J31" s="9" t="n">
        <x:v>113815</x:v>
      </x:c>
      <x:c r="K31" s="8" t="n">
        <x:v>19</x:v>
      </x:c>
      <x:c r="L31" s="8" t="n">
        <x:v>4</x:v>
      </x:c>
      <x:c r="M31" s="10" t="n">
        <x:v>112.94129080000039</x:v>
      </x:c>
      <x:c r="N31" s="10" t="n">
        <x:v>22.353628099997877</x:v>
      </x:c>
      <x:c r="O31" s="7" t="str"/>
      <x:c r="P31" s="7" t="str"/>
    </x:row>
    <x:row r="32">
      <x:c r="A32" s="2" t="str">
        <x:v>BV1-031</x:v>
      </x:c>
      <x:c r="B32" s="7" t="str">
        <x:v>NTL spatiotemporal analysis and querying</x:v>
      </x:c>
      <x:c r="C32" s="7" t="str">
        <x:v>Identify the district in Shanghai with the highest ANTL in a 2022 NPP-VIIRS-like image.</x:v>
      </x:c>
      <x:c r="D32" s="2" t="str">
        <x:v>Pass</x:v>
      </x:c>
      <x:c r="E32" s="2" t="str">
        <x:v>Pass</x:v>
      </x:c>
      <x:c r="F32" s="7" t="str">
        <x:v>final-record-20260817</x:v>
      </x:c>
      <x:c r="G32" s="8" t="n">
        <x:v>21</x:v>
      </x:c>
      <x:c r="H32" s="8" t="n">
        <x:v>10</x:v>
      </x:c>
      <x:c r="I32" s="9" t="n">
        <x:v>545455</x:v>
      </x:c>
      <x:c r="J32" s="9" t="n">
        <x:v>482915</x:v>
      </x:c>
      <x:c r="K32" s="8" t="n">
        <x:v>34</x:v>
      </x:c>
      <x:c r="L32" s="8" t="n">
        <x:v>15</x:v>
      </x:c>
      <x:c r="M32" s="10" t="n">
        <x:v>257.9097324000004</x:v>
      </x:c>
      <x:c r="N32" s="10" t="n">
        <x:v>135.28509209999902</x:v>
      </x:c>
      <x:c r="O32" s="7" t="str"/>
      <x:c r="P32" s="7" t="str"/>
    </x:row>
    <x:row r="33">
      <x:c r="A33" s="2" t="str">
        <x:v>BV1-032</x:v>
      </x:c>
      <x:c r="B33" s="7" t="str">
        <x:v>NTL spatiotemporal analysis and querying</x:v>
      </x:c>
      <x:c r="C33" s="7" t="str">
        <x:v>Identify the WGS84 coordinate of the brightest pixel of NPP-VIIRS NTL imagery in Shanghai, 2022.</x:v>
      </x:c>
      <x:c r="D33" s="2" t="str">
        <x:v>Pass</x:v>
      </x:c>
      <x:c r="E33" s="2" t="str">
        <x:v>Pass</x:v>
      </x:c>
      <x:c r="F33" s="7" t="str">
        <x:v>final-record-20260817</x:v>
      </x:c>
      <x:c r="G33" s="8" t="n">
        <x:v>21</x:v>
      </x:c>
      <x:c r="H33" s="8" t="n">
        <x:v>11</x:v>
      </x:c>
      <x:c r="I33" s="9" t="n">
        <x:v>574426</x:v>
      </x:c>
      <x:c r="J33" s="9" t="n">
        <x:v>559180</x:v>
      </x:c>
      <x:c r="K33" s="8" t="n">
        <x:v>28</x:v>
      </x:c>
      <x:c r="L33" s="8" t="n">
        <x:v>14</x:v>
      </x:c>
      <x:c r="M33" s="10" t="n">
        <x:v>226.24550079999972</x:v>
      </x:c>
      <x:c r="N33" s="10" t="n">
        <x:v>147.3023393000003</x:v>
      </x:c>
      <x:c r="O33" s="7" t="str"/>
      <x:c r="P33" s="7" t="str"/>
    </x:row>
    <x:row r="34">
      <x:c r="A34" s="2" t="str">
        <x:v>BV1-033</x:v>
      </x:c>
      <x:c r="B34" s="7" t="str">
        <x:v>NTL spatiotemporal analysis and querying</x:v>
      </x:c>
      <x:c r="C34" s="7" t="str">
        <x:v>Report the NTL intensity of NPP-VIIRS imagery at the location of the Oriental Pearl Tower in 2020.</x:v>
      </x:c>
      <x:c r="D34" s="2" t="str">
        <x:v>Pass</x:v>
      </x:c>
      <x:c r="E34" s="2" t="str">
        <x:v>Pass</x:v>
      </x:c>
      <x:c r="F34" s="7" t="str">
        <x:v>final-record-20260817</x:v>
      </x:c>
      <x:c r="G34" s="8" t="n">
        <x:v>19</x:v>
      </x:c>
      <x:c r="H34" s="8" t="n">
        <x:v>20</x:v>
      </x:c>
      <x:c r="I34" s="9" t="n">
        <x:v>602661</x:v>
      </x:c>
      <x:c r="J34" s="9" t="n">
        <x:v>1040406</x:v>
      </x:c>
      <x:c r="K34" s="8" t="n">
        <x:v>23</x:v>
      </x:c>
      <x:c r="L34" s="8" t="n">
        <x:v>25</x:v>
      </x:c>
      <x:c r="M34" s="10" t="n">
        <x:v>166.5757735999996</x:v>
      </x:c>
      <x:c r="N34" s="10" t="n">
        <x:v>129.52858339999875</x:v>
      </x:c>
      <x:c r="O34" s="7" t="str"/>
      <x:c r="P34" s="7" t="str"/>
    </x:row>
    <x:row r="35">
      <x:c r="A35" s="2" t="str">
        <x:v>BV1-034</x:v>
      </x:c>
      <x:c r="B35" s="7" t="str">
        <x:v>NTL spatiotemporal analysis and querying</x:v>
      </x:c>
      <x:c r="C35" s="7" t="str">
        <x:v>Identify the WGS84 coordinate of the darkest pixel of NPP-VIIRS NTL imagery in Shanghai, June, 2022.</x:v>
      </x:c>
      <x:c r="D35" s="2" t="str">
        <x:v>Pass</x:v>
      </x:c>
      <x:c r="E35" s="2" t="str">
        <x:v>Pass</x:v>
      </x:c>
      <x:c r="F35" s="7" t="str">
        <x:v>final-record-20260817</x:v>
      </x:c>
      <x:c r="G35" s="8" t="n">
        <x:v>34</x:v>
      </x:c>
      <x:c r="H35" s="8" t="n">
        <x:v>11</x:v>
      </x:c>
      <x:c r="I35" s="9" t="n">
        <x:v>2145542</x:v>
      </x:c>
      <x:c r="J35" s="9" t="n">
        <x:v>654433</x:v>
      </x:c>
      <x:c r="K35" s="8" t="n">
        <x:v>51</x:v>
      </x:c>
      <x:c r="L35" s="8" t="n">
        <x:v>18</x:v>
      </x:c>
      <x:c r="M35" s="10" t="n">
        <x:v>809.9796881000002</x:v>
      </x:c>
      <x:c r="N35" s="10" t="n">
        <x:v>220.99835099999837</x:v>
      </x:c>
      <x:c r="O35" s="7" t="str"/>
      <x:c r="P35" s="7" t="str"/>
    </x:row>
    <x:row r="36">
      <x:c r="A36" s="2" t="str">
        <x:v>BV1-035</x:v>
      </x:c>
      <x:c r="B36" s="7" t="str">
        <x:v>NTL spatiotemporal analysis and querying</x:v>
      </x:c>
      <x:c r="C36" s="7" t="str">
        <x:v>Calculate maximum NTL intensity of NPP-VIIRS-like annual NTL image for each district in Shanghai, 2020.</x:v>
      </x:c>
      <x:c r="D36" s="2" t="str">
        <x:v>Pass</x:v>
      </x:c>
      <x:c r="E36" s="2" t="str">
        <x:v>Pass</x:v>
      </x:c>
      <x:c r="F36" s="7" t="str">
        <x:v>final-record-20260817</x:v>
      </x:c>
      <x:c r="G36" s="8" t="n">
        <x:v>22</x:v>
      </x:c>
      <x:c r="H36" s="8" t="n">
        <x:v>7</x:v>
      </x:c>
      <x:c r="I36" s="9" t="n">
        <x:v>547516</x:v>
      </x:c>
      <x:c r="J36" s="9" t="n">
        <x:v>373124</x:v>
      </x:c>
      <x:c r="K36" s="8" t="n">
        <x:v>30</x:v>
      </x:c>
      <x:c r="L36" s="8" t="n">
        <x:v>11</x:v>
      </x:c>
      <x:c r="M36" s="10" t="n">
        <x:v>218.0069757000001</x:v>
      </x:c>
      <x:c r="N36" s="10" t="n">
        <x:v>127.68837480000002</x:v>
      </x:c>
      <x:c r="O36" s="7" t="str"/>
      <x:c r="P36" s="7" t="str"/>
    </x:row>
    <x:row r="37">
      <x:c r="A37" s="2" t="str">
        <x:v>BV1-036</x:v>
      </x:c>
      <x:c r="B37" s="7" t="str">
        <x:v>NTL spatiotemporal analysis and querying</x:v>
      </x:c>
      <x:c r="C37" s="7" t="str">
        <x:v>Calculate minimum NTL intensity of NPP-VIIRS-like annual NTL image for each district in Shanghai, 2020.</x:v>
      </x:c>
      <x:c r="D37" s="2" t="str">
        <x:v>Pass</x:v>
      </x:c>
      <x:c r="E37" s="2" t="str">
        <x:v>Pass</x:v>
      </x:c>
      <x:c r="F37" s="7" t="str">
        <x:v>final-record-20260817</x:v>
      </x:c>
      <x:c r="G37" s="8" t="n">
        <x:v>15</x:v>
      </x:c>
      <x:c r="H37" s="8" t="n">
        <x:v>17</x:v>
      </x:c>
      <x:c r="I37" s="9" t="n">
        <x:v>329284</x:v>
      </x:c>
      <x:c r="J37" s="9" t="n">
        <x:v>997213</x:v>
      </x:c>
      <x:c r="K37" s="8" t="n">
        <x:v>21</x:v>
      </x:c>
      <x:c r="L37" s="8" t="n">
        <x:v>25</x:v>
      </x:c>
      <x:c r="M37" s="10" t="n">
        <x:v>174.58582099999967</x:v>
      </x:c>
      <x:c r="N37" s="10" t="n">
        <x:v>237.64831120000235</x:v>
      </x:c>
      <x:c r="O37" s="7" t="str"/>
      <x:c r="P37" s="7" t="str"/>
    </x:row>
    <x:row r="38">
      <x:c r="A38" s="2" t="str">
        <x:v>BV1-037</x:v>
      </x:c>
      <x:c r="B38" s="7" t="str">
        <x:v>NTL spatiotemporal analysis and querying</x:v>
      </x:c>
      <x:c r="C38" s="7" t="str">
        <x:v>Calculate standard deviation of NPP-VIIRS-like annual NTL image for each district in Shanghai, 2020.</x:v>
      </x:c>
      <x:c r="D38" s="2" t="str">
        <x:v>Pass</x:v>
      </x:c>
      <x:c r="E38" s="2" t="str">
        <x:v>Pass</x:v>
      </x:c>
      <x:c r="F38" s="7" t="str">
        <x:v>final-record-20260817</x:v>
      </x:c>
      <x:c r="G38" s="8" t="n">
        <x:v>35</x:v>
      </x:c>
      <x:c r="H38" s="8" t="n">
        <x:v>16</x:v>
      </x:c>
      <x:c r="I38" s="9" t="n">
        <x:v>1387980</x:v>
      </x:c>
      <x:c r="J38" s="9" t="n">
        <x:v>892952</x:v>
      </x:c>
      <x:c r="K38" s="8" t="n">
        <x:v>51</x:v>
      </x:c>
      <x:c r="L38" s="8" t="n">
        <x:v>24</x:v>
      </x:c>
      <x:c r="M38" s="10" t="n">
        <x:v>526.7046955999995</x:v>
      </x:c>
      <x:c r="N38" s="10" t="n">
        <x:v>265.1026478999993</x:v>
      </x:c>
      <x:c r="O38" s="7" t="str"/>
      <x:c r="P38" s="7" t="str"/>
    </x:row>
    <x:row r="39">
      <x:c r="A39" s="2" t="str">
        <x:v>BV1-038</x:v>
      </x:c>
      <x:c r="B39" s="7" t="str">
        <x:v>NTL spatiotemporal analysis and querying</x:v>
      </x:c>
      <x:c r="C39" s="7" t="str">
        <x:v>Calculate pixel value distribution of NPP-VIIRS-like annual NTL image for each district in Shanghai, 2020.</x:v>
      </x:c>
      <x:c r="D39" s="2" t="str">
        <x:v>Pass</x:v>
      </x:c>
      <x:c r="E39" s="2" t="str">
        <x:v>Pass</x:v>
      </x:c>
      <x:c r="F39" s="7" t="str">
        <x:v>final-record-20260817</x:v>
      </x:c>
      <x:c r="G39" s="8" t="n">
        <x:v>45</x:v>
      </x:c>
      <x:c r="H39" s="8" t="n">
        <x:v>13</x:v>
      </x:c>
      <x:c r="I39" s="9" t="n">
        <x:v>2716511</x:v>
      </x:c>
      <x:c r="J39" s="9" t="n">
        <x:v>798799</x:v>
      </x:c>
      <x:c r="K39" s="8" t="n">
        <x:v>64</x:v>
      </x:c>
      <x:c r="L39" s="8" t="n">
        <x:v>22</x:v>
      </x:c>
      <x:c r="M39" s="10" t="n">
        <x:v>790.0968589999993</x:v>
      </x:c>
      <x:c r="N39" s="10" t="n">
        <x:v>281.41519119999793</x:v>
      </x:c>
      <x:c r="O39" s="7" t="str"/>
      <x:c r="P39" s="7" t="str"/>
    </x:row>
    <x:row r="40">
      <x:c r="A40" s="2" t="str">
        <x:v>BV1-039</x:v>
      </x:c>
      <x:c r="B40" s="7" t="str">
        <x:v>NTL spatiotemporal analysis and querying</x:v>
      </x:c>
      <x:c r="C40" s="7" t="str">
        <x:v>Calculate total NTL intensity of NPP-VIIRS-like annual NTL image for each district in Shanghai, 2020.</x:v>
      </x:c>
      <x:c r="D40" s="2" t="str">
        <x:v>Pass</x:v>
      </x:c>
      <x:c r="E40" s="2" t="str">
        <x:v>Pass</x:v>
      </x:c>
      <x:c r="F40" s="7" t="str">
        <x:v>post-foundation cumulative-success adjudication</x:v>
      </x:c>
      <x:c r="G40" s="8" t="n">
        <x:v>24</x:v>
      </x:c>
      <x:c r="H40" s="8" t="n">
        <x:v>12</x:v>
      </x:c>
      <x:c r="I40" s="9" t="n">
        <x:v>693654</x:v>
      </x:c>
      <x:c r="J40" s="9" t="n">
        <x:v>571325</x:v>
      </x:c>
      <x:c r="K40" s="8" t="n">
        <x:v>44</x:v>
      </x:c>
      <x:c r="L40" s="8" t="n">
        <x:v>14</x:v>
      </x:c>
      <x:c r="M40" s="10" t="n">
        <x:v>365.88260790000004</x:v>
      </x:c>
      <x:c r="N40" s="10" t="n">
        <x:v>140.8083626000007</x:v>
      </x:c>
      <x:c r="O40" s="7" t="str">
        <x:v>experiments/benchmark-v1/retest-after-foundation-20260817-global4-full-api-restart1/task-records/0001-BV1-039.json</x:v>
      </x:c>
      <x:c r="P40" s="7" t="str">
        <x:v>Targeted post-foundation rerun and author-confirmed cumulative-success adjudication.</x:v>
      </x:c>
    </x:row>
    <x:row r="41">
      <x:c r="A41" s="2" t="str">
        <x:v>BV1-040</x:v>
      </x:c>
      <x:c r="B41" s="7" t="str">
        <x:v>NTL spatiotemporal analysis and querying</x:v>
      </x:c>
      <x:c r="C41" s="7" t="str">
        <x:v>Calculate total lit area of NPP-VIIRS-like annual NTL image for each district in Shanghai, 2020.</x:v>
      </x:c>
      <x:c r="D41" s="2" t="str">
        <x:v>Pass</x:v>
      </x:c>
      <x:c r="E41" s="2" t="str">
        <x:v>Pass</x:v>
      </x:c>
      <x:c r="F41" s="7" t="str">
        <x:v>post-foundation cumulative-success adjudication</x:v>
      </x:c>
      <x:c r="G41" s="8" t="n">
        <x:v>22</x:v>
      </x:c>
      <x:c r="H41" s="8" t="n">
        <x:v>19</x:v>
      </x:c>
      <x:c r="I41" s="9" t="n">
        <x:v>682457</x:v>
      </x:c>
      <x:c r="J41" s="9" t="n">
        <x:v>1188986</x:v>
      </x:c>
      <x:c r="K41" s="8" t="n">
        <x:v>37</x:v>
      </x:c>
      <x:c r="L41" s="8" t="n">
        <x:v>23</x:v>
      </x:c>
      <x:c r="M41" s="10" t="n">
        <x:v>403.84483779999937</x:v>
      </x:c>
      <x:c r="N41" s="10" t="n">
        <x:v>317.89163839999674</x:v>
      </x:c>
      <x:c r="O41" s="7" t="str">
        <x:v>experiments/benchmark-v1/retest-after-foundation-20260817-zonal-default-full/task-records/0001-BV1-040.json; experiments/benchmark-v1/retest-after-foundation-20260817-zonal-default-single/task-records/0001-BV1-040.json</x:v>
      </x:c>
      <x:c r="P41" s="7" t="str">
        <x:v>Targeted zonal-statistics rerun and author-confirmed cumulative-success adjudication. Matched targeted rerun and author-confirmed cumulative-success adjudication.</x:v>
      </x:c>
    </x:row>
    <x:row r="42">
      <x:c r="A42" s="2" t="str">
        <x:v>BV1-041</x:v>
      </x:c>
      <x:c r="B42" s="7" t="str">
        <x:v>NTL spatiotemporal analysis and querying</x:v>
      </x:c>
      <x:c r="C42" s="7" t="str">
        <x:v>Calculate 3D percentage of landscape area of NPP-VIIRS-like annual NTL image for each district in Shanghai, 2020.</x:v>
      </x:c>
      <x:c r="D42" s="2" t="str">
        <x:v>Fail</x:v>
      </x:c>
      <x:c r="E42" s="2" t="str">
        <x:v>Fail</x:v>
      </x:c>
      <x:c r="F42" s="7" t="str">
        <x:v>final-record-20260817</x:v>
      </x:c>
      <x:c r="G42" s="8" t="n">
        <x:v>58</x:v>
      </x:c>
      <x:c r="H42" s="8" t="n">
        <x:v>17</x:v>
      </x:c>
      <x:c r="I42" s="9" t="n">
        <x:v>2252441</x:v>
      </x:c>
      <x:c r="J42" s="9" t="n">
        <x:v>822037</x:v>
      </x:c>
      <x:c r="K42" s="8" t="n">
        <x:v>85</x:v>
      </x:c>
      <x:c r="L42" s="8" t="n">
        <x:v>19</x:v>
      </x:c>
      <x:c r="M42" s="10" t="n">
        <x:v>846.6455741</x:v>
      </x:c>
      <x:c r="N42" s="10" t="n">
        <x:v>167.53615069999796</x:v>
      </x:c>
      <x:c r="O42" s="7" t="str"/>
      <x:c r="P42" s="7" t="str"/>
    </x:row>
    <x:row r="43">
      <x:c r="A43" s="2" t="str">
        <x:v>BV1-042</x:v>
      </x:c>
      <x:c r="B43" s="7" t="str">
        <x:v>NTL spatiotemporal analysis and querying</x:v>
      </x:c>
      <x:c r="C43" s="7" t="str">
        <x:v>Calculate 3D edge density of NPP-VIIRS-like annual NTL image for each district in Shanghai, 2020.</x:v>
      </x:c>
      <x:c r="D43" s="2" t="str">
        <x:v>Fail</x:v>
      </x:c>
      <x:c r="E43" s="2" t="str">
        <x:v>Fail</x:v>
      </x:c>
      <x:c r="F43" s="7" t="str">
        <x:v>final-record-20260817</x:v>
      </x:c>
      <x:c r="G43" s="8" t="n">
        <x:v>58</x:v>
      </x:c>
      <x:c r="H43" s="8" t="n">
        <x:v>9</x:v>
      </x:c>
      <x:c r="I43" s="9" t="n">
        <x:v>4784519</x:v>
      </x:c>
      <x:c r="J43" s="9" t="n">
        <x:v>420167</x:v>
      </x:c>
      <x:c r="K43" s="8" t="n">
        <x:v>78</x:v>
      </x:c>
      <x:c r="L43" s="8" t="n">
        <x:v>17</x:v>
      </x:c>
      <x:c r="M43" s="10" t="n">
        <x:v>984.2776488</x:v>
      </x:c>
      <x:c r="N43" s="10" t="n">
        <x:v>99.91373999999996</x:v>
      </x:c>
      <x:c r="O43" s="7" t="str"/>
      <x:c r="P43" s="7" t="str"/>
    </x:row>
    <x:row r="44">
      <x:c r="A44" s="2" t="str">
        <x:v>BV1-043</x:v>
      </x:c>
      <x:c r="B44" s="7" t="str">
        <x:v>NTL spatiotemporal analysis and querying</x:v>
      </x:c>
      <x:c r="C44" s="7" t="str">
        <x:v>Calculate 3D largest patch index of NPP-VIIRS-like annual NTL image for each district in Shanghai, 2020.</x:v>
      </x:c>
      <x:c r="D44" s="2" t="str">
        <x:v>Fail</x:v>
      </x:c>
      <x:c r="E44" s="2" t="str">
        <x:v>Fail</x:v>
      </x:c>
      <x:c r="F44" s="7" t="str">
        <x:v>final-record-20260817</x:v>
      </x:c>
      <x:c r="G44" s="8" t="n">
        <x:v>39</x:v>
      </x:c>
      <x:c r="H44" s="8" t="n">
        <x:v>21</x:v>
      </x:c>
      <x:c r="I44" s="9" t="n">
        <x:v>1423923</x:v>
      </x:c>
      <x:c r="J44" s="9" t="n">
        <x:v>1114310</x:v>
      </x:c>
      <x:c r="K44" s="8" t="n">
        <x:v>75</x:v>
      </x:c>
      <x:c r="L44" s="8" t="n">
        <x:v>26</x:v>
      </x:c>
      <x:c r="M44" s="10" t="n">
        <x:v>703.2785893</x:v>
      </x:c>
      <x:c r="N44" s="10" t="n">
        <x:v>208.4740090000014</x:v>
      </x:c>
      <x:c r="O44" s="7" t="str"/>
      <x:c r="P44" s="7" t="str"/>
    </x:row>
    <x:row r="45">
      <x:c r="A45" s="2" t="str">
        <x:v>BV1-044</x:v>
      </x:c>
      <x:c r="B45" s="7" t="str">
        <x:v>NTL spatiotemporal analysis and querying</x:v>
      </x:c>
      <x:c r="C45" s="7" t="str">
        <x:v>Calculate ANTL of NPP-VIIRS-like annual NTL image for each district in Shanghai, 2020.</x:v>
      </x:c>
      <x:c r="D45" s="2" t="str">
        <x:v>Pass</x:v>
      </x:c>
      <x:c r="E45" s="2" t="str">
        <x:v>Pass</x:v>
      </x:c>
      <x:c r="F45" s="7" t="str">
        <x:v>final-record-20260817</x:v>
      </x:c>
      <x:c r="G45" s="8" t="n">
        <x:v>34</x:v>
      </x:c>
      <x:c r="H45" s="8" t="n">
        <x:v>10</x:v>
      </x:c>
      <x:c r="I45" s="9" t="n">
        <x:v>1042374</x:v>
      </x:c>
      <x:c r="J45" s="9" t="n">
        <x:v>456528</x:v>
      </x:c>
      <x:c r="K45" s="8" t="n">
        <x:v>51</x:v>
      </x:c>
      <x:c r="L45" s="8" t="n">
        <x:v>13</x:v>
      </x:c>
      <x:c r="M45" s="10" t="n">
        <x:v>491.65791420000005</x:v>
      </x:c>
      <x:c r="N45" s="10" t="n">
        <x:v>105.66207040000154</x:v>
      </x:c>
      <x:c r="O45" s="7" t="str"/>
      <x:c r="P45" s="7" t="str"/>
    </x:row>
    <x:row r="46">
      <x:c r="A46" s="2" t="str">
        <x:v>BV1-045</x:v>
      </x:c>
      <x:c r="B46" s="7" t="str">
        <x:v>NTL spatiotemporal analysis and querying</x:v>
      </x:c>
      <x:c r="C46" s="7" t="str">
        <x:v>Using Shanghai's 2020 NPP-VIIRS-like annual NTL image and district boundaries, calculate each district's DNTL following Chen et al., where DNTL is the population variance of valid NTL pixels with NoData excluded, and report a district-level result table.</x:v>
      </x:c>
      <x:c r="D46" s="2" t="str">
        <x:v>Pass</x:v>
      </x:c>
      <x:c r="E46" s="2" t="str">
        <x:v>Pass</x:v>
      </x:c>
      <x:c r="F46" s="7" t="str">
        <x:v>final-record-20260817</x:v>
      </x:c>
      <x:c r="G46" s="8" t="n">
        <x:v>29</x:v>
      </x:c>
      <x:c r="H46" s="8" t="n">
        <x:v>13</x:v>
      </x:c>
      <x:c r="I46" s="9" t="n">
        <x:v>1229108</x:v>
      </x:c>
      <x:c r="J46" s="9" t="n">
        <x:v>795758</x:v>
      </x:c>
      <x:c r="K46" s="8" t="n">
        <x:v>47</x:v>
      </x:c>
      <x:c r="L46" s="8" t="n">
        <x:v>20</x:v>
      </x:c>
      <x:c r="M46" s="10" t="n">
        <x:v>492.76963499999965</x:v>
      </x:c>
      <x:c r="N46" s="10" t="n">
        <x:v>245.4056053000022</x:v>
      </x:c>
      <x:c r="O46" s="7" t="str"/>
      <x:c r="P46" s="7" t="str"/>
    </x:row>
    <x:row r="47">
      <x:c r="A47" s="2" t="str">
        <x:v>BV1-046</x:v>
      </x:c>
      <x:c r="B47" s="7" t="str">
        <x:v>NTL spatiotemporal analysis and querying</x:v>
      </x:c>
      <x:c r="C47" s="7" t="str">
        <x:v>Estimate digital economy index of NPP-VIIRS-like annual NTL image for each city in Jiangsu province, 2020.</x:v>
      </x:c>
      <x:c r="D47" s="2" t="str">
        <x:v>Pass</x:v>
      </x:c>
      <x:c r="E47" s="2" t="str">
        <x:v>Pass</x:v>
      </x:c>
      <x:c r="F47" s="7" t="str">
        <x:v>final-record-20260817</x:v>
      </x:c>
      <x:c r="G47" s="8" t="n">
        <x:v>39</x:v>
      </x:c>
      <x:c r="H47" s="8" t="n">
        <x:v>17</x:v>
      </x:c>
      <x:c r="I47" s="9" t="n">
        <x:v>2076797</x:v>
      </x:c>
      <x:c r="J47" s="9" t="n">
        <x:v>1077212</x:v>
      </x:c>
      <x:c r="K47" s="8" t="n">
        <x:v>75</x:v>
      </x:c>
      <x:c r="L47" s="8" t="n">
        <x:v>33</x:v>
      </x:c>
      <x:c r="M47" s="10" t="n">
        <x:v>569.5956739000003</x:v>
      </x:c>
      <x:c r="N47" s="10" t="n">
        <x:v>240.6483886999995</x:v>
      </x:c>
      <x:c r="O47" s="7" t="str"/>
      <x:c r="P47" s="7" t="str"/>
    </x:row>
    <x:row r="48">
      <x:c r="A48" s="2" t="str">
        <x:v>BV1-047</x:v>
      </x:c>
      <x:c r="B48" s="7" t="str">
        <x:v>NTL spatiotemporal analysis and querying</x:v>
      </x:c>
      <x:c r="C48" s="7" t="str">
        <x:v>Within Shanghai’s 2020 administrative boundary, calculate the proportion of NPP-VIIRS NTL pixels with values greater than 50.</x:v>
      </x:c>
      <x:c r="D48" s="2" t="str">
        <x:v>Pass</x:v>
      </x:c>
      <x:c r="E48" s="2" t="str">
        <x:v>Pass</x:v>
      </x:c>
      <x:c r="F48" s="7" t="str">
        <x:v>final-record-20260817</x:v>
      </x:c>
      <x:c r="G48" s="8" t="n">
        <x:v>15</x:v>
      </x:c>
      <x:c r="H48" s="8" t="n">
        <x:v>13</x:v>
      </x:c>
      <x:c r="I48" s="9" t="n">
        <x:v>298158</x:v>
      </x:c>
      <x:c r="J48" s="9" t="n">
        <x:v>777023</x:v>
      </x:c>
      <x:c r="K48" s="8" t="n">
        <x:v>17</x:v>
      </x:c>
      <x:c r="L48" s="8" t="n">
        <x:v>20</x:v>
      </x:c>
      <x:c r="M48" s="10" t="n">
        <x:v>118.6147746000006</x:v>
      </x:c>
      <x:c r="N48" s="10" t="n">
        <x:v>205.1353134000019</x:v>
      </x:c>
      <x:c r="O48" s="7" t="str"/>
      <x:c r="P48" s="7" t="str"/>
    </x:row>
    <x:row r="49">
      <x:c r="A49" s="2" t="str">
        <x:v>BV1-048</x:v>
      </x:c>
      <x:c r="B49" s="7" t="str">
        <x:v>NTL spatiotemporal analysis and querying</x:v>
      </x:c>
      <x:c r="C49" s="7" t="str">
        <x:v>Within Shanghai’s 2020 administrative boundary, calculate the proportion of NPP-VIIRS NTL pixels with values lower than 3.</x:v>
      </x:c>
      <x:c r="D49" s="2" t="str">
        <x:v>Pass</x:v>
      </x:c>
      <x:c r="E49" s="2" t="str">
        <x:v>Pass</x:v>
      </x:c>
      <x:c r="F49" s="7" t="str">
        <x:v>final-record-20260817</x:v>
      </x:c>
      <x:c r="G49" s="8" t="n">
        <x:v>14</x:v>
      </x:c>
      <x:c r="H49" s="8" t="n">
        <x:v>11</x:v>
      </x:c>
      <x:c r="I49" s="9" t="n">
        <x:v>319838</x:v>
      </x:c>
      <x:c r="J49" s="9" t="n">
        <x:v>576823</x:v>
      </x:c>
      <x:c r="K49" s="8" t="n">
        <x:v>23</x:v>
      </x:c>
      <x:c r="L49" s="8" t="n">
        <x:v>17</x:v>
      </x:c>
      <x:c r="M49" s="10" t="n">
        <x:v>164.2164472000004</x:v>
      </x:c>
      <x:c r="N49" s="10" t="n">
        <x:v>168.68193509999765</x:v>
      </x:c>
      <x:c r="O49" s="7" t="str"/>
      <x:c r="P49" s="7" t="str"/>
    </x:row>
    <x:row r="50">
      <x:c r="A50" s="2" t="str">
        <x:v>BV1-049</x:v>
      </x:c>
      <x:c r="B50" s="7" t="str">
        <x:v>NTL spatiotemporal analysis and querying</x:v>
      </x:c>
      <x:c r="C50" s="7" t="str">
        <x:v>Calculate the compound annual growth rate of Total NTL intensity for Shanghai from 2015 to 2020.</x:v>
      </x:c>
      <x:c r="D50" s="2" t="str">
        <x:v>Pass</x:v>
      </x:c>
      <x:c r="E50" s="2" t="str">
        <x:v>Pass</x:v>
      </x:c>
      <x:c r="F50" s="7" t="str">
        <x:v>final-record-20260817</x:v>
      </x:c>
      <x:c r="G50" s="8" t="n">
        <x:v>19</x:v>
      </x:c>
      <x:c r="H50" s="8" t="n">
        <x:v>10</x:v>
      </x:c>
      <x:c r="I50" s="9" t="n">
        <x:v>505611</x:v>
      </x:c>
      <x:c r="J50" s="9" t="n">
        <x:v>488199</x:v>
      </x:c>
      <x:c r="K50" s="8" t="n">
        <x:v>32</x:v>
      </x:c>
      <x:c r="L50" s="8" t="n">
        <x:v>17</x:v>
      </x:c>
      <x:c r="M50" s="10" t="n">
        <x:v>259.57575970000016</x:v>
      </x:c>
      <x:c r="N50" s="10" t="n">
        <x:v>92.96669219999967</x:v>
      </x:c>
      <x:c r="O50" s="7" t="str"/>
      <x:c r="P50" s="7" t="str"/>
    </x:row>
    <x:row r="51">
      <x:c r="A51" s="2" t="str">
        <x:v>BV1-050</x:v>
      </x:c>
      <x:c r="B51" s="7" t="str">
        <x:v>NTL spatiotemporal analysis and querying</x:v>
      </x:c>
      <x:c r="C51" s="7" t="str">
        <x:v>Calculate the annual growth rate of total NTL intensity in Shanghai for each year between 2015 and 2020</x:v>
      </x:c>
      <x:c r="D51" s="2" t="str">
        <x:v>Pass</x:v>
      </x:c>
      <x:c r="E51" s="2" t="str">
        <x:v>Pass</x:v>
      </x:c>
      <x:c r="F51" s="7" t="str">
        <x:v>final-record-20260817</x:v>
      </x:c>
      <x:c r="G51" s="8" t="n">
        <x:v>30</x:v>
      </x:c>
      <x:c r="H51" s="8" t="n">
        <x:v>13</x:v>
      </x:c>
      <x:c r="I51" s="9" t="n">
        <x:v>874436</x:v>
      </x:c>
      <x:c r="J51" s="9" t="n">
        <x:v>691863</x:v>
      </x:c>
      <x:c r="K51" s="8" t="n">
        <x:v>59</x:v>
      </x:c>
      <x:c r="L51" s="8" t="n">
        <x:v>18</x:v>
      </x:c>
      <x:c r="M51" s="10" t="n">
        <x:v>469.4060912999994</x:v>
      </x:c>
      <x:c r="N51" s="10" t="n">
        <x:v>183.94049310000264</x:v>
      </x:c>
      <x:c r="O51" s="7" t="str"/>
      <x:c r="P51" s="7" t="str"/>
    </x:row>
    <x:row r="52">
      <x:c r="A52" s="2" t="str">
        <x:v>BV1-051</x:v>
      </x:c>
      <x:c r="B52" s="7" t="str">
        <x:v>NTL spatiotemporal analysis and querying</x:v>
      </x:c>
      <x:c r="C52" s="7" t="str">
        <x:v>Identify the district with the highest NTL growth rate in Shanghai from 2019 to 2020.</x:v>
      </x:c>
      <x:c r="D52" s="2" t="str">
        <x:v>Pass</x:v>
      </x:c>
      <x:c r="E52" s="2" t="str">
        <x:v>Pass</x:v>
      </x:c>
      <x:c r="F52" s="7" t="str">
        <x:v>final-record-20260817</x:v>
      </x:c>
      <x:c r="G52" s="8" t="n">
        <x:v>22</x:v>
      </x:c>
      <x:c r="H52" s="8" t="n">
        <x:v>15</x:v>
      </x:c>
      <x:c r="I52" s="9" t="n">
        <x:v>707946</x:v>
      </x:c>
      <x:c r="J52" s="9" t="n">
        <x:v>770829</x:v>
      </x:c>
      <x:c r="K52" s="8" t="n">
        <x:v>33</x:v>
      </x:c>
      <x:c r="L52" s="8" t="n">
        <x:v>17</x:v>
      </x:c>
      <x:c r="M52" s="10" t="n">
        <x:v>278.1788235999993</x:v>
      </x:c>
      <x:c r="N52" s="10" t="n">
        <x:v>138.79678919999787</x:v>
      </x:c>
      <x:c r="O52" s="7" t="str"/>
      <x:c r="P52" s="7" t="str"/>
    </x:row>
    <x:row r="53">
      <x:c r="A53" s="2" t="str">
        <x:v>BV1-052</x:v>
      </x:c>
      <x:c r="B53" s="7" t="str">
        <x:v>NTL spatiotemporal analysis and querying</x:v>
      </x:c>
      <x:c r="C53" s="7" t="str">
        <x:v>Detect anomalous pixels in Shanghai from 2015 to 2020.</x:v>
      </x:c>
      <x:c r="D53" s="2" t="str">
        <x:v>Fail</x:v>
      </x:c>
      <x:c r="E53" s="2" t="str">
        <x:v>Fail</x:v>
      </x:c>
      <x:c r="F53" s="7" t="str">
        <x:v>final-record-20260817</x:v>
      </x:c>
      <x:c r="G53" s="8" t="n">
        <x:v>34</x:v>
      </x:c>
      <x:c r="H53" s="8" t="n">
        <x:v>13</x:v>
      </x:c>
      <x:c r="I53" s="9" t="n">
        <x:v>1776193</x:v>
      </x:c>
      <x:c r="J53" s="9" t="n">
        <x:v>765223</x:v>
      </x:c>
      <x:c r="K53" s="8" t="n">
        <x:v>56</x:v>
      </x:c>
      <x:c r="L53" s="8" t="n">
        <x:v>18</x:v>
      </x:c>
      <x:c r="M53" s="10" t="n">
        <x:v>577.8112858000004</x:v>
      </x:c>
      <x:c r="N53" s="10" t="n">
        <x:v>232.4113499999985</x:v>
      </x:c>
      <x:c r="O53" s="7" t="str"/>
      <x:c r="P53" s="7" t="str"/>
    </x:row>
    <x:row r="54">
      <x:c r="A54" s="2" t="str">
        <x:v>BV1-053</x:v>
      </x:c>
      <x:c r="B54" s="7" t="str">
        <x:v>NTL spatiotemporal analysis and querying</x:v>
      </x:c>
      <x:c r="C54" s="7" t="str">
        <x:v>Calculate VNP46A2 average nighttime light intensity (ANTL) in Shanghai each day, from January 1, 2022, to January 31, 2022, using GEE Python Code,and save it as a csv.</x:v>
      </x:c>
      <x:c r="D54" s="2" t="str">
        <x:v>Pass</x:v>
      </x:c>
      <x:c r="E54" s="2" t="str">
        <x:v>Pass</x:v>
      </x:c>
      <x:c r="F54" s="7" t="str">
        <x:v>final-record-20260817</x:v>
      </x:c>
      <x:c r="G54" s="8" t="n">
        <x:v>17</x:v>
      </x:c>
      <x:c r="H54" s="8" t="n">
        <x:v>5</x:v>
      </x:c>
      <x:c r="I54" s="9" t="n">
        <x:v>340821</x:v>
      </x:c>
      <x:c r="J54" s="9" t="n">
        <x:v>204905</x:v>
      </x:c>
      <x:c r="K54" s="8" t="n">
        <x:v>23</x:v>
      </x:c>
      <x:c r="L54" s="8" t="n">
        <x:v>6</x:v>
      </x:c>
      <x:c r="M54" s="10" t="n">
        <x:v>125.51469570000063</x:v>
      </x:c>
      <x:c r="N54" s="10" t="n">
        <x:v>65.2279950000011</x:v>
      </x:c>
      <x:c r="O54" s="7" t="str"/>
      <x:c r="P54" s="7" t="str"/>
    </x:row>
    <x:row r="55">
      <x:c r="A55" s="2" t="str">
        <x:v>BV1-054</x:v>
      </x:c>
      <x:c r="B55" s="7" t="str">
        <x:v>NTL spatiotemporal analysis and querying</x:v>
      </x:c>
      <x:c r="C55" s="7" t="str">
        <x:v>Calculate NPP-VIIRS average nighttime light intensity (ANTL) in Shanghai each year, from 2015 to 2022, using GEE Python Code,and save it as a csv.</x:v>
      </x:c>
      <x:c r="D55" s="2" t="str">
        <x:v>Pass</x:v>
      </x:c>
      <x:c r="E55" s="2" t="str">
        <x:v>Pass</x:v>
      </x:c>
      <x:c r="F55" s="7" t="str">
        <x:v>final-record-20260817</x:v>
      </x:c>
      <x:c r="G55" s="8" t="n">
        <x:v>34</x:v>
      </x:c>
      <x:c r="H55" s="8" t="n">
        <x:v>12</x:v>
      </x:c>
      <x:c r="I55" s="9" t="n">
        <x:v>1548631</x:v>
      </x:c>
      <x:c r="J55" s="9" t="n">
        <x:v>679540</x:v>
      </x:c>
      <x:c r="K55" s="8" t="n">
        <x:v>46</x:v>
      </x:c>
      <x:c r="L55" s="8" t="n">
        <x:v>16</x:v>
      </x:c>
      <x:c r="M55" s="10" t="n">
        <x:v>425.755631</x:v>
      </x:c>
      <x:c r="N55" s="10" t="n">
        <x:v>210.50428319999992</x:v>
      </x:c>
      <x:c r="O55" s="7" t="str"/>
      <x:c r="P55" s="7" t="str"/>
    </x:row>
    <x:row r="56">
      <x:c r="A56" s="2" t="str">
        <x:v>BV1-055</x:v>
      </x:c>
      <x:c r="B56" s="7" t="str">
        <x:v>NTL spatiotemporal analysis and querying</x:v>
      </x:c>
      <x:c r="C56" s="7" t="str">
        <x:v>Download VNP46A2 daily NTL data, and detect the brightness value in the Oriental Pearl Tower, Shanghai before and after the 2024 National Day of China.</x:v>
      </x:c>
      <x:c r="D56" s="2" t="str">
        <x:v>Pass</x:v>
      </x:c>
      <x:c r="E56" s="2" t="str">
        <x:v>Pass</x:v>
      </x:c>
      <x:c r="F56" s="7" t="str">
        <x:v>final-record-20260817</x:v>
      </x:c>
      <x:c r="G56" s="8" t="n">
        <x:v>39</x:v>
      </x:c>
      <x:c r="H56" s="8" t="n">
        <x:v>14</x:v>
      </x:c>
      <x:c r="I56" s="9" t="n">
        <x:v>1947090</x:v>
      </x:c>
      <x:c r="J56" s="9" t="n">
        <x:v>814439</x:v>
      </x:c>
      <x:c r="K56" s="8" t="n">
        <x:v>64</x:v>
      </x:c>
      <x:c r="L56" s="8" t="n">
        <x:v>20</x:v>
      </x:c>
      <x:c r="M56" s="10" t="n">
        <x:v>682.9656856999991</x:v>
      </x:c>
      <x:c r="N56" s="10" t="n">
        <x:v>162.60002739999982</x:v>
      </x:c>
      <x:c r="O56" s="7" t="str"/>
      <x:c r="P56" s="7" t="str"/>
    </x:row>
    <x:row r="57">
      <x:c r="A57" s="2" t="str">
        <x:v>BV1-056</x:v>
      </x:c>
      <x:c r="B57" s="7" t="str">
        <x:v>NTL spatiotemporal analysis and querying</x:v>
      </x:c>
      <x:c r="C57" s="7" t="str">
        <x:v>Extract the built-up area in Shanghai for 2018 using a threshold of 10.</x:v>
      </x:c>
      <x:c r="D57" s="2" t="str">
        <x:v>Pass</x:v>
      </x:c>
      <x:c r="E57" s="2" t="str">
        <x:v>Pass</x:v>
      </x:c>
      <x:c r="F57" s="7" t="str">
        <x:v>post-foundation cumulative-success adjudication</x:v>
      </x:c>
      <x:c r="G57" s="8" t="n">
        <x:v>31</x:v>
      </x:c>
      <x:c r="H57" s="8" t="n">
        <x:v>16</x:v>
      </x:c>
      <x:c r="I57" s="9" t="n">
        <x:v>1066025</x:v>
      </x:c>
      <x:c r="J57" s="9" t="n">
        <x:v>965418</x:v>
      </x:c>
      <x:c r="K57" s="8" t="n">
        <x:v>42</x:v>
      </x:c>
      <x:c r="L57" s="8" t="n">
        <x:v>20</x:v>
      </x:c>
      <x:c r="M57" s="10" t="n">
        <x:v>443.8604321999992</x:v>
      </x:c>
      <x:c r="N57" s="10" t="n">
        <x:v>247.47813039999892</x:v>
      </x:c>
      <x:c r="O57" s="7" t="str">
        <x:v>experiments/benchmark-v1/retest-001-100-20260816/retry4-full-w4/task-records/0056-BV1-056.json; experiments/benchmark-v1/retest-after-foundation-20260817-global4-single/task-records/0011-BV1-056.json</x:v>
      </x:c>
      <x:c r="P57" s="7" t="str">
        <x:v>Existing successful execution subsequently included by the author-confirmed cumulative-success rule. Targeted post-foundation rerun and author-confirmed cumulative-success adjudication.</x:v>
      </x:c>
    </x:row>
    <x:row r="58">
      <x:c r="A58" s="2" t="str">
        <x:v>BV1-057</x:v>
      </x:c>
      <x:c r="B58" s="7" t="str">
        <x:v>NTL spatiotemporal analysis and querying</x:v>
      </x:c>
      <x:c r="C58" s="7" t="str">
        <x:v>Calculate and visualize the NTL intensity difference between 2020 and 2021 in Shanghai.</x:v>
      </x:c>
      <x:c r="D58" s="2" t="str">
        <x:v>Pass</x:v>
      </x:c>
      <x:c r="E58" s="2" t="str">
        <x:v>Pass</x:v>
      </x:c>
      <x:c r="F58" s="7" t="str">
        <x:v>final-record-20260817</x:v>
      </x:c>
      <x:c r="G58" s="8" t="n">
        <x:v>32</x:v>
      </x:c>
      <x:c r="H58" s="8" t="n">
        <x:v>15</x:v>
      </x:c>
      <x:c r="I58" s="9" t="n">
        <x:v>1296721</x:v>
      </x:c>
      <x:c r="J58" s="9" t="n">
        <x:v>946749</x:v>
      </x:c>
      <x:c r="K58" s="8" t="n">
        <x:v>52</x:v>
      </x:c>
      <x:c r="L58" s="8" t="n">
        <x:v>28</x:v>
      </x:c>
      <x:c r="M58" s="10" t="n">
        <x:v>531.9411885000009</x:v>
      </x:c>
      <x:c r="N58" s="10" t="n">
        <x:v>257.0181302000019</x:v>
      </x:c>
      <x:c r="O58" s="7" t="str"/>
      <x:c r="P58" s="7" t="str"/>
    </x:row>
    <x:row r="59">
      <x:c r="A59" s="2" t="str">
        <x:v>BV1-058</x:v>
      </x:c>
      <x:c r="B59" s="7" t="str">
        <x:v>NTL spatiotemporal analysis and querying</x:v>
      </x:c>
      <x:c r="C59" s="7" t="str">
        <x:v>Download NPP-VIIRS-like imagery of Shanghai in 2020, set noise values less than 1 to NaN, and visualize using a 'viridis' color map.</x:v>
      </x:c>
      <x:c r="D59" s="2" t="str">
        <x:v>Fail</x:v>
      </x:c>
      <x:c r="E59" s="2" t="str">
        <x:v>Fail</x:v>
      </x:c>
      <x:c r="F59" s="7" t="str">
        <x:v>final-record-20260817</x:v>
      </x:c>
      <x:c r="G59" s="8" t="n">
        <x:v>13</x:v>
      </x:c>
      <x:c r="H59" s="8" t="n">
        <x:v>9</x:v>
      </x:c>
      <x:c r="I59" s="9" t="n">
        <x:v>347763</x:v>
      </x:c>
      <x:c r="J59" s="9" t="n">
        <x:v>395989</x:v>
      </x:c>
      <x:c r="K59" s="8" t="n">
        <x:v>19</x:v>
      </x:c>
      <x:c r="L59" s="8" t="n">
        <x:v>14</x:v>
      </x:c>
      <x:c r="M59" s="10" t="n">
        <x:v>138.18993690000025</x:v>
      </x:c>
      <x:c r="N59" s="10" t="n">
        <x:v>72.22543099999893</x:v>
      </x:c>
      <x:c r="O59" s="7" t="str"/>
      <x:c r="P59" s="7" t="str"/>
    </x:row>
    <x:row r="60">
      <x:c r="A60" s="2" t="str">
        <x:v>BV1-059</x:v>
      </x:c>
      <x:c r="B60" s="7" t="str">
        <x:v>NTL spatiotemporal analysis and querying</x:v>
      </x:c>
      <x:c r="C60" s="7" t="str">
        <x:v>Compare ANTL in Shanghai and Beijing in 2022 and tell me which is brighter.</x:v>
      </x:c>
      <x:c r="D60" s="2" t="str">
        <x:v>Fail</x:v>
      </x:c>
      <x:c r="E60" s="2" t="str">
        <x:v>Fail</x:v>
      </x:c>
      <x:c r="F60" s="7" t="str">
        <x:v>final-record-20260817</x:v>
      </x:c>
      <x:c r="G60" s="8" t="n">
        <x:v>20</x:v>
      </x:c>
      <x:c r="H60" s="8" t="n">
        <x:v>23</x:v>
      </x:c>
      <x:c r="I60" s="9" t="n">
        <x:v>611909</x:v>
      </x:c>
      <x:c r="J60" s="9" t="n">
        <x:v>1257698</x:v>
      </x:c>
      <x:c r="K60" s="8" t="n">
        <x:v>33</x:v>
      </x:c>
      <x:c r="L60" s="8" t="n">
        <x:v>26</x:v>
      </x:c>
      <x:c r="M60" s="10" t="n">
        <x:v>290.1529040000005</x:v>
      </x:c>
      <x:c r="N60" s="10" t="n">
        <x:v>234.61152719999882</x:v>
      </x:c>
      <x:c r="O60" s="7" t="str"/>
      <x:c r="P60" s="7" t="str"/>
    </x:row>
    <x:row r="61">
      <x:c r="A61" s="2" t="str">
        <x:v>BV1-060</x:v>
      </x:c>
      <x:c r="B61" s="7" t="str">
        <x:v>NTL spatiotemporal analysis and querying</x:v>
      </x:c>
      <x:c r="C61" s="7" t="str">
        <x:v>Conduct a slope trend analysis on annual NPP-VIIRS-like NTL data for Shanghai (2000–2020).</x:v>
      </x:c>
      <x:c r="D61" s="2" t="str">
        <x:v>Fail</x:v>
      </x:c>
      <x:c r="E61" s="2" t="str">
        <x:v>Fail</x:v>
      </x:c>
      <x:c r="F61" s="7" t="str">
        <x:v>final-record-20260817</x:v>
      </x:c>
      <x:c r="G61" s="8" t="n">
        <x:v>34</x:v>
      </x:c>
      <x:c r="H61" s="8" t="n">
        <x:v>22</x:v>
      </x:c>
      <x:c r="I61" s="9" t="n">
        <x:v>1989131</x:v>
      </x:c>
      <x:c r="J61" s="9" t="n">
        <x:v>1433124</x:v>
      </x:c>
      <x:c r="K61" s="8" t="n">
        <x:v>57</x:v>
      </x:c>
      <x:c r="L61" s="8" t="n">
        <x:v>31</x:v>
      </x:c>
      <x:c r="M61" s="10" t="n">
        <x:v>735.2692327999994</x:v>
      </x:c>
      <x:c r="N61" s="10" t="n">
        <x:v>277.87536199999886</x:v>
      </x:c>
      <x:c r="O61" s="7" t="str"/>
      <x:c r="P61" s="7" t="str"/>
    </x:row>
    <x:row r="62">
      <x:c r="A62" s="2" t="str">
        <x:v>BV1-061</x:v>
      </x:c>
      <x:c r="B62" s="7" t="str">
        <x:v>NTL applications and modeling</x:v>
      </x:c>
      <x:c r="C62" s="7" t="str">
        <x:v>Calculate the ANTL for Wuhan during the official lockdown period (January 23 – April 8, 2020), and compare it with the corresponding dates in 2019.</x:v>
      </x:c>
      <x:c r="D62" s="2" t="str">
        <x:v>Pass</x:v>
      </x:c>
      <x:c r="E62" s="2" t="str">
        <x:v>Pass</x:v>
      </x:c>
      <x:c r="F62" s="7" t="str">
        <x:v>final-record-20260817</x:v>
      </x:c>
      <x:c r="G62" s="8" t="n">
        <x:v>43</x:v>
      </x:c>
      <x:c r="H62" s="8" t="n">
        <x:v>14</x:v>
      </x:c>
      <x:c r="I62" s="9" t="n">
        <x:v>2350915</x:v>
      </x:c>
      <x:c r="J62" s="9" t="n">
        <x:v>863103</x:v>
      </x:c>
      <x:c r="K62" s="8" t="n">
        <x:v>67</x:v>
      </x:c>
      <x:c r="L62" s="8" t="n">
        <x:v>24</x:v>
      </x:c>
      <x:c r="M62" s="10" t="n">
        <x:v>843.5453453999999</x:v>
      </x:c>
      <x:c r="N62" s="10" t="n">
        <x:v>211.28840819999823</x:v>
      </x:c>
      <x:c r="O62" s="7" t="str"/>
      <x:c r="P62" s="7" t="str"/>
    </x:row>
    <x:row r="63">
      <x:c r="A63" s="2" t="str">
        <x:v>BV1-062</x:v>
      </x:c>
      <x:c r="B63" s="7" t="str">
        <x:v>NTL applications and modeling</x:v>
      </x:c>
      <x:c r="C63" s="7" t="str">
        <x:v>Assess the impact of the 2025 Myanmar earthquake using daily NPP-VIIRS VNP46A2 imagery. Retrieve earthquake details from official sources (USGS, ReliefWeb) to identify the epicenter. Compute ANTL during pre-event and post-event periods, and the first night after the earthquake using the GEE Python API, and summarize results for damage assessment.</x:v>
      </x:c>
      <x:c r="D63" s="2" t="str">
        <x:v>Pass</x:v>
      </x:c>
      <x:c r="E63" s="2" t="str">
        <x:v>Pass</x:v>
      </x:c>
      <x:c r="F63" s="7" t="str">
        <x:v>final-record-20260817</x:v>
      </x:c>
      <x:c r="G63" s="8" t="n">
        <x:v>54</x:v>
      </x:c>
      <x:c r="H63" s="8" t="n">
        <x:v>15</x:v>
      </x:c>
      <x:c r="I63" s="9" t="n">
        <x:v>2065134</x:v>
      </x:c>
      <x:c r="J63" s="9" t="n">
        <x:v>1137370</x:v>
      </x:c>
      <x:c r="K63" s="8" t="n">
        <x:v>82</x:v>
      </x:c>
      <x:c r="L63" s="8" t="n">
        <x:v>27</x:v>
      </x:c>
      <x:c r="M63" s="10" t="n">
        <x:v>927.3198861000001</x:v>
      </x:c>
      <x:c r="N63" s="10" t="n">
        <x:v>356.70870920000016</x:v>
      </x:c>
      <x:c r="O63" s="7" t="str"/>
      <x:c r="P63" s="7" t="str"/>
    </x:row>
    <x:row r="64">
      <x:c r="A64" s="2" t="str">
        <x:v>BV1-063</x:v>
      </x:c>
      <x:c r="B64" s="7" t="str">
        <x:v>NTL applications and modeling</x:v>
      </x:c>
      <x:c r="C64" s="7" t="str">
        <x:v>Using the supplied inputs/q63-input.csv, which records the fixed 2022 DEI and matched LongNTL TNTL values for the top 20 Chinese cities, fit linear, logarithmic, exponential, and quadratic-polynomial models with TNTL as the predictor and DEI as the response. Report each equation, coefficient of determination, and root mean square error, then select the model best suited to this sample using the metrics and curve form. Treat this as a reproduction and time extension of the Chen et al. modelling procedure, not a reproduction of its numerical results.</x:v>
      </x:c>
      <x:c r="D64" s="2" t="str">
        <x:v>Fail</x:v>
      </x:c>
      <x:c r="E64" s="2" t="str">
        <x:v>Fail</x:v>
      </x:c>
      <x:c r="F64" s="7" t="str">
        <x:v>final-record-20260817</x:v>
      </x:c>
      <x:c r="G64" s="8" t="n">
        <x:v>19</x:v>
      </x:c>
      <x:c r="H64" s="8" t="n">
        <x:v>17</x:v>
      </x:c>
      <x:c r="I64" s="9" t="n">
        <x:v>633248</x:v>
      </x:c>
      <x:c r="J64" s="9" t="n">
        <x:v>1001399</x:v>
      </x:c>
      <x:c r="K64" s="8" t="n">
        <x:v>30</x:v>
      </x:c>
      <x:c r="L64" s="8" t="n">
        <x:v>22</x:v>
      </x:c>
      <x:c r="M64" s="10" t="n">
        <x:v>324.9941620999998</x:v>
      </x:c>
      <x:c r="N64" s="10" t="n">
        <x:v>192.40607770000133</x:v>
      </x:c>
      <x:c r="O64" s="7" t="str"/>
      <x:c r="P64" s="7" t="str"/>
    </x:row>
    <x:row r="65">
      <x:c r="A65" s="2" t="str">
        <x:v>BV1-064</x:v>
      </x:c>
      <x:c r="B65" s="7" t="str">
        <x:v>NTL applications and modeling</x:v>
      </x:c>
      <x:c r="C65" s="7" t="str">
        <x:v>Retrieve Shanghai's GDP and NPP-VIIRS NTL data for 2013-2022, and explicitly report the GDP price basis, units, and source. Fit linear, logarithmic, exponential, power, and quadratic-polynomial models for ANTL and GDP. Select the model using leave-one-year-out cross-validation, with root mean square error on the original GDP scale as the primary criterion and mean absolute error as an auxiliary criterion; then refit the selected model on all 10 years and report its equation and metrics. Interpret the result as an association, not a causal relationship.</x:v>
      </x:c>
      <x:c r="D65" s="2" t="str">
        <x:v>Pass</x:v>
      </x:c>
      <x:c r="E65" s="2" t="str">
        <x:v>Pass</x:v>
      </x:c>
      <x:c r="F65" s="7" t="str">
        <x:v>final-record-20260817</x:v>
      </x:c>
      <x:c r="G65" s="8" t="n">
        <x:v>38</x:v>
      </x:c>
      <x:c r="H65" s="8" t="n">
        <x:v>16</x:v>
      </x:c>
      <x:c r="I65" s="9" t="n">
        <x:v>1595238</x:v>
      </x:c>
      <x:c r="J65" s="9" t="n">
        <x:v>1268510</x:v>
      </x:c>
      <x:c r="K65" s="8" t="n">
        <x:v>57</x:v>
      </x:c>
      <x:c r="L65" s="8" t="n">
        <x:v>30</x:v>
      </x:c>
      <x:c r="M65" s="10" t="n">
        <x:v>527.7847731999991</x:v>
      </x:c>
      <x:c r="N65" s="10" t="n">
        <x:v>390.33683949999977</x:v>
      </x:c>
      <x:c r="O65" s="7" t="str"/>
      <x:c r="P65" s="7" t="str"/>
    </x:row>
    <x:row r="66">
      <x:c r="A66" s="2" t="str">
        <x:v>BV1-065</x:v>
      </x:c>
      <x:c r="B66" s="7" t="str">
        <x:v>NTL applications and modeling</x:v>
      </x:c>
      <x:c r="C66" s="7" t="str">
        <x:v>For Shanghai, retrieve NPP-VIIRS NTL and LandScan data for 2013-2023, compute annual ANTL and the sum of LandScan b1 ambient-population estimates, and report a year-ANTL-population table. Calculate Pearson and Spearman correlations and fit one linear regression with ANTL as the predictor; report the equation, coefficient of determination, and root mean square error, produce a time-series chart and a scatter/regression chart, and do not make a causal claim or describe LandScan as official resident population.</x:v>
      </x:c>
      <x:c r="D66" s="2" t="str">
        <x:v>Pass</x:v>
      </x:c>
      <x:c r="E66" s="2" t="str">
        <x:v>Pass</x:v>
      </x:c>
      <x:c r="F66" s="7" t="str">
        <x:v>final-record-20260817</x:v>
      </x:c>
      <x:c r="G66" s="8" t="n">
        <x:v>22</x:v>
      </x:c>
      <x:c r="H66" s="8" t="n">
        <x:v>14</x:v>
      </x:c>
      <x:c r="I66" s="9" t="n">
        <x:v>986455</x:v>
      </x:c>
      <x:c r="J66" s="9" t="n">
        <x:v>1215928</x:v>
      </x:c>
      <x:c r="K66" s="8" t="n">
        <x:v>46</x:v>
      </x:c>
      <x:c r="L66" s="8" t="n">
        <x:v>23</x:v>
      </x:c>
      <x:c r="M66" s="10" t="n">
        <x:v>403.3379038000003</x:v>
      </x:c>
      <x:c r="N66" s="10" t="n">
        <x:v>256.78828799999974</x:v>
      </x:c>
      <x:c r="O66" s="7" t="str"/>
      <x:c r="P66" s="7" t="str"/>
    </x:row>
    <x:row r="67">
      <x:c r="A67" s="2" t="str">
        <x:v>BV1-066</x:v>
      </x:c>
      <x:c r="B67" s="7" t="str">
        <x:v>NTL applications and modeling</x:v>
      </x:c>
      <x:c r="C67" s="7" t="str">
        <x:v>Download the 2020 NTL imagery for Shanghai. Then, extract the built-up area using the SVM method. Finally, calculate the proportion of built-up area within each district of Shanghai.</x:v>
      </x:c>
      <x:c r="D67" s="2" t="str">
        <x:v>Pass</x:v>
      </x:c>
      <x:c r="E67" s="2" t="str">
        <x:v>Pass</x:v>
      </x:c>
      <x:c r="F67" s="7" t="str">
        <x:v>final-record-20260817</x:v>
      </x:c>
      <x:c r="G67" s="8" t="n">
        <x:v>60</x:v>
      </x:c>
      <x:c r="H67" s="8" t="n">
        <x:v>13</x:v>
      </x:c>
      <x:c r="I67" s="9" t="n">
        <x:v>3177566</x:v>
      </x:c>
      <x:c r="J67" s="9" t="n">
        <x:v>749387</x:v>
      </x:c>
      <x:c r="K67" s="8" t="n">
        <x:v>87</x:v>
      </x:c>
      <x:c r="L67" s="8" t="n">
        <x:v>19</x:v>
      </x:c>
      <x:c r="M67" s="10" t="n">
        <x:v>1344.1759586999997</x:v>
      </x:c>
      <x:c r="N67" s="10" t="n">
        <x:v>357.97947529999874</x:v>
      </x:c>
      <x:c r="O67" s="7" t="str"/>
      <x:c r="P67" s="7" t="str"/>
    </x:row>
    <x:row r="68">
      <x:c r="A68" s="2" t="str">
        <x:v>BV1-067</x:v>
      </x:c>
      <x:c r="B68" s="7" t="str">
        <x:v>NTL applications and modeling</x:v>
      </x:c>
      <x:c r="C68" s="7" t="str">
        <x:v>Extract urban main roads based on the SDGSAT-1 GLI NTL imagery located at inputs\SDG_rgb.tif, and convert the result to a shapefile (.shp).</x:v>
      </x:c>
      <x:c r="D68" s="2" t="str">
        <x:v>Fail</x:v>
      </x:c>
      <x:c r="E68" s="2" t="str">
        <x:v>Fail</x:v>
      </x:c>
      <x:c r="F68" s="7" t="str">
        <x:v>final-record-20260817</x:v>
      </x:c>
      <x:c r="G68" s="8" t="n">
        <x:v>16</x:v>
      </x:c>
      <x:c r="H68" s="8" t="n">
        <x:v>60</x:v>
      </x:c>
      <x:c r="I68" s="9" t="n">
        <x:v>358074</x:v>
      </x:c>
      <x:c r="J68" s="9" t="n">
        <x:v>5306769</x:v>
      </x:c>
      <x:c r="K68" s="8" t="n">
        <x:v>31</x:v>
      </x:c>
      <x:c r="L68" s="8" t="n">
        <x:v>75</x:v>
      </x:c>
      <x:c r="M68" s="10" t="n">
        <x:v>220.3079740000012</x:v>
      </x:c>
      <x:c r="N68" s="10" t="n">
        <x:v>1171.5558042000011</x:v>
      </x:c>
      <x:c r="O68" s="7" t="str"/>
      <x:c r="P68" s="7" t="str"/>
    </x:row>
    <x:row r="69">
      <x:c r="A69" s="2" t="str">
        <x:v>BV1-068</x:v>
      </x:c>
      <x:c r="B69" s="7" t="str">
        <x:v>NTL applications and modeling</x:v>
      </x:c>
      <x:c r="C69" s="7" t="str">
        <x:v>Using the supplied 2020 NPP-VIIRS NTL, calibration labels, and LandScan population data, apply the Liu et al. threshold method to estimate the population located in NTL-detectable electrified areas. Report the threshold, population count and share, output artifacts, and proxy limitation.</x:v>
      </x:c>
      <x:c r="D69" s="2" t="str">
        <x:v>Pass</x:v>
      </x:c>
      <x:c r="E69" s="2" t="str">
        <x:v>Pass</x:v>
      </x:c>
      <x:c r="F69" s="7" t="str">
        <x:v>final-record-20260817</x:v>
      </x:c>
      <x:c r="G69" s="8" t="n">
        <x:v>44</x:v>
      </x:c>
      <x:c r="H69" s="8" t="n">
        <x:v>7</x:v>
      </x:c>
      <x:c r="I69" s="9" t="n">
        <x:v>2164932</x:v>
      </x:c>
      <x:c r="J69" s="9" t="n">
        <x:v>314591</x:v>
      </x:c>
      <x:c r="K69" s="8" t="n">
        <x:v>67</x:v>
      </x:c>
      <x:c r="L69" s="8" t="n">
        <x:v>14</x:v>
      </x:c>
      <x:c r="M69" s="10" t="n">
        <x:v>604.2857497999994</x:v>
      </x:c>
      <x:c r="N69" s="10" t="n">
        <x:v>94.60008520000338</x:v>
      </x:c>
      <x:c r="O69" s="7" t="str"/>
      <x:c r="P69" s="7" t="str"/>
    </x:row>
    <x:row r="70">
      <x:c r="A70" s="2" t="str">
        <x:v>BV1-069</x:v>
      </x:c>
      <x:c r="B70" s="7" t="str">
        <x:v>NTL applications and modeling</x:v>
      </x:c>
      <x:c r="C70" s="7" t="str">
        <x:v>Compute the Ratio Red Light Index (RRLI) and Ratio Blue Light Index (RBLI) based on the RGB NTL image located at inputs\SDG_rgb.tif. Then, classify the pixels into different types according to Jia et al. (2024).</x:v>
      </x:c>
      <x:c r="D70" s="2" t="str">
        <x:v>Fail</x:v>
      </x:c>
      <x:c r="E70" s="2" t="str">
        <x:v>Fail</x:v>
      </x:c>
      <x:c r="F70" s="7" t="str">
        <x:v>final-record-20260817</x:v>
      </x:c>
      <x:c r="G70" s="8" t="n">
        <x:v>34</x:v>
      </x:c>
      <x:c r="H70" s="8" t="n">
        <x:v>7</x:v>
      </x:c>
      <x:c r="I70" s="9" t="n">
        <x:v>1117696</x:v>
      </x:c>
      <x:c r="J70" s="9" t="n">
        <x:v>308111</x:v>
      </x:c>
      <x:c r="K70" s="8" t="n">
        <x:v>63</x:v>
      </x:c>
      <x:c r="L70" s="8" t="n">
        <x:v>13</x:v>
      </x:c>
      <x:c r="M70" s="10" t="n">
        <x:v>388.7287333999993</x:v>
      </x:c>
      <x:c r="N70" s="10" t="n">
        <x:v>67.41332540000076</x:v>
      </x:c>
      <x:c r="O70" s="7" t="str"/>
      <x:c r="P70" s="7" t="str"/>
    </x:row>
    <x:row r="71">
      <x:c r="A71" s="2" t="str">
        <x:v>BV1-070</x:v>
      </x:c>
      <x:c r="B71" s="7" t="str">
        <x:v>NTL applications and modeling</x:v>
      </x:c>
      <x:c r="C71" s="7" t="str">
        <x:v>Using Shanghai’s December 2014 V1 NPP-VIIRS monthly NTL image, apply the localized contour tree method of Chen et al. (2017) to identify urban centers, composite urban centers, and their hierarchy, and export the vector, CSV, and metadata results.</x:v>
      </x:c>
      <x:c r="D71" s="2" t="str">
        <x:v>Pass</x:v>
      </x:c>
      <x:c r="E71" s="2" t="str">
        <x:v>Pass</x:v>
      </x:c>
      <x:c r="F71" s="7" t="str">
        <x:v>final-record-20260817</x:v>
      </x:c>
      <x:c r="G71" s="8" t="n">
        <x:v>32</x:v>
      </x:c>
      <x:c r="H71" s="8" t="n">
        <x:v>8</x:v>
      </x:c>
      <x:c r="I71" s="9" t="n">
        <x:v>1879738</x:v>
      </x:c>
      <x:c r="J71" s="9" t="n">
        <x:v>406824</x:v>
      </x:c>
      <x:c r="K71" s="8" t="n">
        <x:v>60</x:v>
      </x:c>
      <x:c r="L71" s="8" t="n">
        <x:v>16</x:v>
      </x:c>
      <x:c r="M71" s="10" t="n">
        <x:v>635.963296599999</x:v>
      </x:c>
      <x:c r="N71" s="10" t="n">
        <x:v>124.81889020000017</x:v>
      </x:c>
      <x:c r="O71" s="7" t="str"/>
      <x:c r="P71" s="7" t="str"/>
    </x:row>
    <x:row r="72">
      <x:c r="A72" s="2" t="str">
        <x:v>BV1-071</x:v>
      </x:c>
      <x:c r="B72" s="7" t="str">
        <x:v>NTL data retrieval and preprocessing</x:v>
      </x:c>
      <x:c r="C72" s="7" t="str">
        <x:v>Obtain the latest quality-qualified VNP46A2 nighttime-light image available for Shanghai as of the test date, and report its observation date, product, band, and source.</x:v>
      </x:c>
      <x:c r="D72" s="2" t="str">
        <x:v>Pass</x:v>
      </x:c>
      <x:c r="E72" s="2" t="str">
        <x:v>Fail</x:v>
      </x:c>
      <x:c r="F72" s="7" t="str">
        <x:v>final-record-20260817</x:v>
      </x:c>
      <x:c r="G72" s="8" t="n">
        <x:v>28</x:v>
      </x:c>
      <x:c r="H72" s="8" t="n">
        <x:v>7</x:v>
      </x:c>
      <x:c r="I72" s="9" t="n">
        <x:v>1556486</x:v>
      </x:c>
      <x:c r="J72" s="9" t="n">
        <x:v>357962</x:v>
      </x:c>
      <x:c r="K72" s="8" t="n">
        <x:v>61</x:v>
      </x:c>
      <x:c r="L72" s="8" t="n">
        <x:v>16</x:v>
      </x:c>
      <x:c r="M72" s="10" t="n">
        <x:v>669.6356242000002</x:v>
      </x:c>
      <x:c r="N72" s="10" t="n">
        <x:v>185.08180619999985</x:v>
      </x:c>
      <x:c r="O72" s="7" t="str"/>
      <x:c r="P72" s="7" t="str"/>
    </x:row>
    <x:row r="73">
      <x:c r="A73" s="2" t="str">
        <x:v>BV1-072</x:v>
      </x:c>
      <x:c r="B73" s="7" t="str">
        <x:v>NTL data retrieval and preprocessing</x:v>
      </x:c>
      <x:c r="C73" s="7" t="str">
        <x:v>Retrieve Shanghai's VNP46A2 nighttime-light observation for the most recent complete calendar day before the test date. If that date is unavailable or fails the quality rule, use the most recent earlier qualified VNP46A2 observation and report the requested date, selected date, and fallback reason.</x:v>
      </x:c>
      <x:c r="D73" s="2" t="str">
        <x:v>Pass</x:v>
      </x:c>
      <x:c r="E73" s="2" t="str">
        <x:v>Pass</x:v>
      </x:c>
      <x:c r="F73" s="7" t="str">
        <x:v>final-record-20260817</x:v>
      </x:c>
      <x:c r="G73" s="8" t="n">
        <x:v>15</x:v>
      </x:c>
      <x:c r="H73" s="8" t="n">
        <x:v>63</x:v>
      </x:c>
      <x:c r="I73" s="9" t="n">
        <x:v>360330</x:v>
      </x:c>
      <x:c r="J73" s="9" t="n">
        <x:v>6059912</x:v>
      </x:c>
      <x:c r="K73" s="8" t="n">
        <x:v>25</x:v>
      </x:c>
      <x:c r="L73" s="8" t="n">
        <x:v>78</x:v>
      </x:c>
      <x:c r="M73" s="10" t="n">
        <x:v>237.14740060000076</x:v>
      </x:c>
      <x:c r="N73" s="10" t="n">
        <x:v>889.6638278999999</x:v>
      </x:c>
      <x:c r="O73" s="7" t="str"/>
      <x:c r="P73" s="7" t="str"/>
    </x:row>
    <x:row r="74">
      <x:c r="A74" s="2" t="str">
        <x:v>BV1-073</x:v>
      </x:c>
      <x:c r="B74" s="7" t="str">
        <x:v>NTL data retrieval and preprocessing</x:v>
      </x:c>
      <x:c r="C74" s="7" t="str">
        <x:v>Obtain the latest quality-qualified official VNP46A1 at-sensor nighttime-light image available for Shanghai as of the test date, save the radiance artifact, and report its observation date, radiance band, UTC_Time availability, and source provenance.</x:v>
      </x:c>
      <x:c r="D74" s="2" t="str">
        <x:v>Fail</x:v>
      </x:c>
      <x:c r="E74" s="2" t="str">
        <x:v>Fail</x:v>
      </x:c>
      <x:c r="F74" s="7" t="str">
        <x:v>final-record-20260817</x:v>
      </x:c>
      <x:c r="G74" s="8" t="n">
        <x:v>10</x:v>
      </x:c>
      <x:c r="H74" s="8" t="n">
        <x:v>9</x:v>
      </x:c>
      <x:c r="I74" s="9" t="n">
        <x:v>215322</x:v>
      </x:c>
      <x:c r="J74" s="9" t="n">
        <x:v>395317</x:v>
      </x:c>
      <x:c r="K74" s="8" t="n">
        <x:v>16</x:v>
      </x:c>
      <x:c r="L74" s="8" t="n">
        <x:v>19</x:v>
      </x:c>
      <x:c r="M74" s="10" t="n">
        <x:v>86.86611970000013</x:v>
      </x:c>
      <x:c r="N74" s="10" t="n">
        <x:v>75.3407901999999</x:v>
      </x:c>
      <x:c r="O74" s="7" t="str"/>
      <x:c r="P74" s="7" t="str"/>
    </x:row>
    <x:row r="75">
      <x:c r="A75" s="2" t="str">
        <x:v>BV1-074</x:v>
      </x:c>
      <x:c r="B75" s="7" t="str">
        <x:v>NTL data retrieval and preprocessing</x:v>
      </x:c>
      <x:c r="C75" s="7" t="str">
        <x:v>Obtain the official 2021 VNL V2.1 and 2022 VNL V2.2 annual nighttime-light products for Shanghai, clip both to the Shanghai boundary, align them to the same CRS and pixel grid, and output the two GeoTIFFs with a product-and-grid manifest.</x:v>
      </x:c>
      <x:c r="D75" s="2" t="str">
        <x:v>Pass</x:v>
      </x:c>
      <x:c r="E75" s="2" t="str">
        <x:v>Pass</x:v>
      </x:c>
      <x:c r="F75" s="7" t="str">
        <x:v>final-record-20260817</x:v>
      </x:c>
      <x:c r="G75" s="8" t="n">
        <x:v>31</x:v>
      </x:c>
      <x:c r="H75" s="8" t="n">
        <x:v>18</x:v>
      </x:c>
      <x:c r="I75" s="9" t="n">
        <x:v>1855316</x:v>
      </x:c>
      <x:c r="J75" s="9" t="n">
        <x:v>1309589</x:v>
      </x:c>
      <x:c r="K75" s="8" t="n">
        <x:v>65</x:v>
      </x:c>
      <x:c r="L75" s="8" t="n">
        <x:v>32</x:v>
      </x:c>
      <x:c r="M75" s="10" t="n">
        <x:v>744.4659059000005</x:v>
      </x:c>
      <x:c r="N75" s="10" t="n">
        <x:v>405.34900840000046</x:v>
      </x:c>
      <x:c r="O75" s="7" t="str"/>
      <x:c r="P75" s="7" t="str"/>
    </x:row>
    <x:row r="76">
      <x:c r="A76" s="2" t="str">
        <x:v>BV1-075</x:v>
      </x:c>
      <x:c r="B76" s="7" t="str">
        <x:v>NTL data retrieval and preprocessing</x:v>
      </x:c>
      <x:c r="C76" s="7" t="str">
        <x:v>Apply quality screening to the VNP46A2 nighttime-light image for Shanghai on 2020-01-01, distinguish valid direct observations, invalid pixels, and gap-filled values, and output the screened radiance and quality-state layers.</x:v>
      </x:c>
      <x:c r="D76" s="2" t="str">
        <x:v>Pass</x:v>
      </x:c>
      <x:c r="E76" s="2" t="str">
        <x:v>Pass</x:v>
      </x:c>
      <x:c r="F76" s="7" t="str">
        <x:v>final-record-20260817</x:v>
      </x:c>
      <x:c r="G76" s="8" t="n">
        <x:v>65</x:v>
      </x:c>
      <x:c r="H76" s="8" t="n">
        <x:v>46</x:v>
      </x:c>
      <x:c r="I76" s="9" t="n">
        <x:v>4257107</x:v>
      </x:c>
      <x:c r="J76" s="9" t="n">
        <x:v>4534704</x:v>
      </x:c>
      <x:c r="K76" s="8" t="n">
        <x:v>101</x:v>
      </x:c>
      <x:c r="L76" s="8" t="n">
        <x:v>54</x:v>
      </x:c>
      <x:c r="M76" s="10" t="n">
        <x:v>943.3686031999987</x:v>
      </x:c>
      <x:c r="N76" s="10" t="n">
        <x:v>1163.1051177000008</x:v>
      </x:c>
      <x:c r="O76" s="7" t="str"/>
      <x:c r="P76" s="7" t="str"/>
    </x:row>
    <x:row r="77">
      <x:c r="A77" s="2" t="str">
        <x:v>BV1-076</x:v>
      </x:c>
      <x:c r="B77" s="7" t="str">
        <x:v>NTL data retrieval and preprocessing</x:v>
      </x:c>
      <x:c r="C77" s="7" t="str">
        <x:v>Download Myanmar's VNP46A2 observations for the 2025-03-28 UTC product date through the official HDF5 route, mosaic all required granules, clip the result to Myanmar's national boundary, and output a GeoTIFF with an acquisition audit manifest.</x:v>
      </x:c>
      <x:c r="D77" s="2" t="str">
        <x:v>Fail</x:v>
      </x:c>
      <x:c r="E77" s="2" t="str">
        <x:v>Fail</x:v>
      </x:c>
      <x:c r="F77" s="7" t="str">
        <x:v>final-record-20260817</x:v>
      </x:c>
      <x:c r="G77" s="8" t="n">
        <x:v>28</x:v>
      </x:c>
      <x:c r="H77" s="8" t="n">
        <x:v>11</x:v>
      </x:c>
      <x:c r="I77" s="9" t="n">
        <x:v>1055392</x:v>
      </x:c>
      <x:c r="J77" s="9" t="n">
        <x:v>611600</x:v>
      </x:c>
      <x:c r="K77" s="8" t="n">
        <x:v>46</x:v>
      </x:c>
      <x:c r="L77" s="8" t="n">
        <x:v>19</x:v>
      </x:c>
      <x:c r="M77" s="10" t="n">
        <x:v>427.63364120000006</x:v>
      </x:c>
      <x:c r="N77" s="10" t="n">
        <x:v>281.1708901999991</x:v>
      </x:c>
      <x:c r="O77" s="7" t="str"/>
      <x:c r="P77" s="7" t="str"/>
    </x:row>
    <x:row r="78">
      <x:c r="A78" s="2" t="str">
        <x:v>BV1-077</x:v>
      </x:c>
      <x:c r="B78" s="7" t="str">
        <x:v>NTL data retrieval and preprocessing</x:v>
      </x:c>
      <x:c r="C78" s="7" t="str">
        <x:v>Using the specified Chen NPP-VIIRS-like Version 2 annual product, extract Shanghai's 2000-2020 nighttime-light series, output an annual statistics table, and compare the 2013 value with the official 2013 VIIRS annual product as an overlap check.</x:v>
      </x:c>
      <x:c r="D78" s="2" t="str">
        <x:v>Fail</x:v>
      </x:c>
      <x:c r="E78" s="2" t="str">
        <x:v>Pass</x:v>
      </x:c>
      <x:c r="F78" s="7" t="str">
        <x:v>final-record-20260817</x:v>
      </x:c>
      <x:c r="G78" s="8" t="n">
        <x:v>5</x:v>
      </x:c>
      <x:c r="H78" s="8" t="n">
        <x:v>22</x:v>
      </x:c>
      <x:c r="I78" s="9" t="n">
        <x:v>68862</x:v>
      </x:c>
      <x:c r="J78" s="9" t="n">
        <x:v>1981927</x:v>
      </x:c>
      <x:c r="K78" s="8" t="n">
        <x:v>9</x:v>
      </x:c>
      <x:c r="L78" s="8" t="n">
        <x:v>34</x:v>
      </x:c>
      <x:c r="M78" s="10" t="n">
        <x:v>75.3558893999998</x:v>
      </x:c>
      <x:c r="N78" s="10" t="n">
        <x:v>379.77666670000326</x:v>
      </x:c>
      <x:c r="O78" s="7" t="str"/>
      <x:c r="P78" s="7" t="str"/>
    </x:row>
    <x:row r="79">
      <x:c r="A79" s="2" t="str">
        <x:v>BV1-078</x:v>
      </x:c>
      <x:c r="B79" s="7" t="str">
        <x:v>NTL data retrieval and preprocessing</x:v>
      </x:c>
      <x:c r="C79" s="7" t="str">
        <x:v>Align Shanghai's 2020 annual nighttime-light, LandScan population, and MODIS NDVI data to one 500 m grid, output the three aligned datasets, and report the CRS, grid definition, reprojection, resampling, aggregation, NoData, and unit handling used.</x:v>
      </x:c>
      <x:c r="D79" s="2" t="str">
        <x:v>Pass</x:v>
      </x:c>
      <x:c r="E79" s="2" t="str">
        <x:v>Pass</x:v>
      </x:c>
      <x:c r="F79" s="7" t="str">
        <x:v>final-record-20260817</x:v>
      </x:c>
      <x:c r="G79" s="8" t="n">
        <x:v>13</x:v>
      </x:c>
      <x:c r="H79" s="8" t="n">
        <x:v>22</x:v>
      </x:c>
      <x:c r="I79" s="9" t="n">
        <x:v>800462</x:v>
      </x:c>
      <x:c r="J79" s="9" t="n">
        <x:v>2317671</x:v>
      </x:c>
      <x:c r="K79" s="8" t="n">
        <x:v>22</x:v>
      </x:c>
      <x:c r="L79" s="8" t="n">
        <x:v>37</x:v>
      </x:c>
      <x:c r="M79" s="10" t="n">
        <x:v>498.6494666000017</x:v>
      </x:c>
      <x:c r="N79" s="10" t="n">
        <x:v>710.0856579000028</x:v>
      </x:c>
      <x:c r="O79" s="7" t="str"/>
      <x:c r="P79" s="7" t="str"/>
    </x:row>
    <x:row r="80">
      <x:c r="A80" s="2" t="str">
        <x:v>BV1-079</x:v>
      </x:c>
      <x:c r="B80" s="7" t="str">
        <x:v>NTL data retrieval and preprocessing</x:v>
      </x:c>
      <x:c r="C80" s="7" t="str">
        <x:v>For Shanghai's June 2020 VIIRS monthly nighttime-light composite, retain avg_rad only where cf_cvg is greater than zero, output the screened radiance GeoTIFF, and report valid-pixel coverage and summary statistics.</x:v>
      </x:c>
      <x:c r="D80" s="2" t="str">
        <x:v>Pass</x:v>
      </x:c>
      <x:c r="E80" s="2" t="str">
        <x:v>Pass</x:v>
      </x:c>
      <x:c r="F80" s="7" t="str">
        <x:v>final-record-20260817</x:v>
      </x:c>
      <x:c r="G80" s="8" t="n">
        <x:v>70</x:v>
      </x:c>
      <x:c r="H80" s="8" t="n">
        <x:v>15</x:v>
      </x:c>
      <x:c r="I80" s="9" t="n">
        <x:v>4170878</x:v>
      </x:c>
      <x:c r="J80" s="9" t="n">
        <x:v>953150</x:v>
      </x:c>
      <x:c r="K80" s="8" t="n">
        <x:v>112</x:v>
      </x:c>
      <x:c r="L80" s="8" t="n">
        <x:v>24</x:v>
      </x:c>
      <x:c r="M80" s="10" t="n">
        <x:v>1256.7362482999997</x:v>
      </x:c>
      <x:c r="N80" s="10" t="n">
        <x:v>314.28583880000224</x:v>
      </x:c>
      <x:c r="O80" s="7" t="str"/>
      <x:c r="P80" s="7" t="str"/>
    </x:row>
    <x:row r="81">
      <x:c r="A81" s="2" t="str">
        <x:v>BV1-080</x:v>
      </x:c>
      <x:c r="B81" s="7" t="str">
        <x:v>NTL data retrieval and preprocessing</x:v>
      </x:c>
      <x:c r="C81" s="7" t="str">
        <x:v>Clip the Shanghai 2020 NPP-VIIRS-like annual nighttime-light image with the Shanghai administrative boundary, and output the clipped GeoTIFF and a preview image.</x:v>
      </x:c>
      <x:c r="D81" s="2" t="str">
        <x:v>Pass</x:v>
      </x:c>
      <x:c r="E81" s="2" t="str">
        <x:v>Pass</x:v>
      </x:c>
      <x:c r="F81" s="7" t="str">
        <x:v>final-record-20260817</x:v>
      </x:c>
      <x:c r="G81" s="8" t="n">
        <x:v>12</x:v>
      </x:c>
      <x:c r="H81" s="8" t="n">
        <x:v>15</x:v>
      </x:c>
      <x:c r="I81" s="9" t="n">
        <x:v>271056</x:v>
      </x:c>
      <x:c r="J81" s="9" t="n">
        <x:v>799835</x:v>
      </x:c>
      <x:c r="K81" s="8" t="n">
        <x:v>15</x:v>
      </x:c>
      <x:c r="L81" s="8" t="n">
        <x:v>22</x:v>
      </x:c>
      <x:c r="M81" s="10" t="n">
        <x:v>120.19987260000016</x:v>
      </x:c>
      <x:c r="N81" s="10" t="n">
        <x:v>183.36055000000124</x:v>
      </x:c>
      <x:c r="O81" s="7" t="str"/>
      <x:c r="P81" s="7" t="str"/>
    </x:row>
    <x:row r="82">
      <x:c r="A82" s="2" t="str">
        <x:v>BV1-081</x:v>
      </x:c>
      <x:c r="B82" s="7" t="str">
        <x:v>NTL spatiotemporal analysis and querying</x:v>
      </x:c>
      <x:c r="C82" s="7" t="str">
        <x:v>Aggregate Shanghai's 2020 annual nighttime light to a 2 km regular grid, calculate Global Moran's I for grid-cell ANTL with queen-contiguity weights and 999 fixed-seed permutations, and output the grid together with Moran's I, expected I, and the permutation p-value.</x:v>
      </x:c>
      <x:c r="D82" s="2" t="str">
        <x:v>Pass</x:v>
      </x:c>
      <x:c r="E82" s="2" t="str">
        <x:v>Pass</x:v>
      </x:c>
      <x:c r="F82" s="7" t="str">
        <x:v>final-record-20260817</x:v>
      </x:c>
      <x:c r="G82" s="8" t="n">
        <x:v>27</x:v>
      </x:c>
      <x:c r="H82" s="8" t="n">
        <x:v>20</x:v>
      </x:c>
      <x:c r="I82" s="9" t="n">
        <x:v>1063505</x:v>
      </x:c>
      <x:c r="J82" s="9" t="n">
        <x:v>1675337</x:v>
      </x:c>
      <x:c r="K82" s="8" t="n">
        <x:v>43</x:v>
      </x:c>
      <x:c r="L82" s="8" t="n">
        <x:v>35</x:v>
      </x:c>
      <x:c r="M82" s="10" t="n">
        <x:v>522.102782599999</x:v>
      </x:c>
      <x:c r="N82" s="10" t="n">
        <x:v>456.458344900002</x:v>
      </x:c>
      <x:c r="O82" s="7" t="str"/>
      <x:c r="P82" s="7" t="str"/>
    </x:row>
    <x:row r="83">
      <x:c r="A83" s="2" t="str">
        <x:v>BV1-082</x:v>
      </x:c>
      <x:c r="B83" s="7" t="str">
        <x:v>NTL spatiotemporal analysis and querying</x:v>
      </x:c>
      <x:c r="C83" s="7" t="str">
        <x:v>Create a mean nighttime-light composite for Shanghai from the latest seven quality-qualified VNP46A2 observations. Extend the search backward when recent calendar nights are missing, and report every used and skipped date.</x:v>
      </x:c>
      <x:c r="D83" s="2" t="str">
        <x:v>Pass</x:v>
      </x:c>
      <x:c r="E83" s="2" t="str">
        <x:v>Fail</x:v>
      </x:c>
      <x:c r="F83" s="7" t="str">
        <x:v>final-record-20260817</x:v>
      </x:c>
      <x:c r="G83" s="8" t="n">
        <x:v>20</x:v>
      </x:c>
      <x:c r="H83" s="8" t="n">
        <x:v>7</x:v>
      </x:c>
      <x:c r="I83" s="9" t="n">
        <x:v>921345</x:v>
      </x:c>
      <x:c r="J83" s="9" t="n">
        <x:v>384163</x:v>
      </x:c>
      <x:c r="K83" s="8" t="n">
        <x:v>41</x:v>
      </x:c>
      <x:c r="L83" s="8" t="n">
        <x:v>36</x:v>
      </x:c>
      <x:c r="M83" s="10" t="n">
        <x:v>572.7999980999994</x:v>
      </x:c>
      <x:c r="N83" s="10" t="n">
        <x:v>279.5241308000004</x:v>
      </x:c>
      <x:c r="O83" s="7" t="str"/>
      <x:c r="P83" s="7" t="str"/>
    </x:row>
    <x:row r="84">
      <x:c r="A84" s="2" t="str">
        <x:v>BV1-083</x:v>
      </x:c>
      <x:c r="B84" s="7" t="str">
        <x:v>NTL spatiotemporal analysis and querying</x:v>
      </x:c>
      <x:c r="C84" s="7" t="str">
        <x:v>Using VNP46A2, compare Kyiv's nighttime light relative to Warsaw before and after the Kyiv offensive began on 2022-02-24. Use 2022-02-10 to 2022-02-23 as the 14-day pre-event window and 2022-02-25 to 2022-03-10 as the 14-day post-event window; report the target-to-reference light ratio, signed change, and valid-day counts as non-causal remote-sensing evidence.</x:v>
      </x:c>
      <x:c r="D84" s="2" t="str">
        <x:v>Fail</x:v>
      </x:c>
      <x:c r="E84" s="2" t="str">
        <x:v>Fail</x:v>
      </x:c>
      <x:c r="F84" s="7" t="str">
        <x:v>final-record-20260817</x:v>
      </x:c>
      <x:c r="G84" s="8" t="n">
        <x:v>16</x:v>
      </x:c>
      <x:c r="H84" s="8" t="n">
        <x:v>21</x:v>
      </x:c>
      <x:c r="I84" s="9" t="n">
        <x:v>449014</x:v>
      </x:c>
      <x:c r="J84" s="9" t="n">
        <x:v>1420828</x:v>
      </x:c>
      <x:c r="K84" s="8" t="n">
        <x:v>29</x:v>
      </x:c>
      <x:c r="L84" s="8" t="n">
        <x:v>26</x:v>
      </x:c>
      <x:c r="M84" s="10" t="n">
        <x:v>277.88427330000013</x:v>
      </x:c>
      <x:c r="N84" s="10" t="n">
        <x:v>297.8350544999994</x:v>
      </x:c>
      <x:c r="O84" s="7" t="str"/>
      <x:c r="P84" s="7" t="str"/>
    </x:row>
    <x:row r="85">
      <x:c r="A85" s="2" t="str">
        <x:v>BV1-084</x:v>
      </x:c>
      <x:c r="B85" s="7" t="str">
        <x:v>NTL spatiotemporal analysis and querying</x:v>
      </x:c>
      <x:c r="C85" s="7" t="str">
        <x:v>Using Shanghai's 2020 annual nighttime-light image, calculate ANTL and TNTL by municipal district and by a fixed 5 km regular grid, output both result layers, and compare their spatial rankings and aggregation effects.</x:v>
      </x:c>
      <x:c r="D85" s="2" t="str">
        <x:v>Pass</x:v>
      </x:c>
      <x:c r="E85" s="2" t="str">
        <x:v>Pass</x:v>
      </x:c>
      <x:c r="F85" s="7" t="str">
        <x:v>final-record-20260817</x:v>
      </x:c>
      <x:c r="G85" s="8" t="n">
        <x:v>31</x:v>
      </x:c>
      <x:c r="H85" s="8" t="n">
        <x:v>24</x:v>
      </x:c>
      <x:c r="I85" s="9" t="n">
        <x:v>1720261</x:v>
      </x:c>
      <x:c r="J85" s="9" t="n">
        <x:v>1799468</x:v>
      </x:c>
      <x:c r="K85" s="8" t="n">
        <x:v>44</x:v>
      </x:c>
      <x:c r="L85" s="8" t="n">
        <x:v>33</x:v>
      </x:c>
      <x:c r="M85" s="10" t="n">
        <x:v>810.499274400001</x:v>
      </x:c>
      <x:c r="N85" s="10" t="n">
        <x:v>389.74880340000163</x:v>
      </x:c>
      <x:c r="O85" s="7" t="str"/>
      <x:c r="P85" s="7" t="str"/>
    </x:row>
    <x:row r="86">
      <x:c r="A86" s="2" t="str">
        <x:v>BV1-085</x:v>
      </x:c>
      <x:c r="B86" s="7" t="str">
        <x:v>NTL spatiotemporal analysis and querying</x:v>
      </x:c>
      <x:c r="C86" s="7" t="str">
        <x:v>For the same Kyiv VNP46A2 event series used in the 2022-02-24 case, calculate the 2022-02-25 to 2022-03-10 event-period change once against the 2022-02-17 to 2022-02-23 seven-day baseline and once against the 2022-02-10 to 2022-02-23 fourteen-day baseline, then output both results and their difference.</x:v>
      </x:c>
      <x:c r="D86" s="2" t="str">
        <x:v>Pass</x:v>
      </x:c>
      <x:c r="E86" s="2" t="str">
        <x:v>Pass</x:v>
      </x:c>
      <x:c r="F86" s="7" t="str">
        <x:v>final-record-20260817</x:v>
      </x:c>
      <x:c r="G86" s="8" t="n">
        <x:v>18</x:v>
      </x:c>
      <x:c r="H86" s="8" t="n">
        <x:v>17</x:v>
      </x:c>
      <x:c r="I86" s="9" t="n">
        <x:v>473749</x:v>
      </x:c>
      <x:c r="J86" s="9" t="n">
        <x:v>1074261</x:v>
      </x:c>
      <x:c r="K86" s="8" t="n">
        <x:v>30</x:v>
      </x:c>
      <x:c r="L86" s="8" t="n">
        <x:v>23</x:v>
      </x:c>
      <x:c r="M86" s="10" t="n">
        <x:v>218.47488019999946</x:v>
      </x:c>
      <x:c r="N86" s="10" t="n">
        <x:v>239.17370260000098</x:v>
      </x:c>
      <x:c r="O86" s="7" t="str"/>
      <x:c r="P86" s="7" t="str"/>
    </x:row>
    <x:row r="87">
      <x:c r="A87" s="2" t="str">
        <x:v>BV1-086</x:v>
      </x:c>
      <x:c r="B87" s="7" t="str">
        <x:v>NTL spatiotemporal analysis and querying</x:v>
      </x:c>
      <x:c r="C87" s="7" t="str">
        <x:v>Using Shanghai's 2000-2020 annual ANTL series, perform a Mann-Kendall trend test and Sen's-slope estimation, and report the trend direction, Sen slope, p-value, annual series table, and time-series chart.</x:v>
      </x:c>
      <x:c r="D87" s="2" t="str">
        <x:v>Pass</x:v>
      </x:c>
      <x:c r="E87" s="2" t="str">
        <x:v>Pass</x:v>
      </x:c>
      <x:c r="F87" s="7" t="str">
        <x:v>final-record-20260817</x:v>
      </x:c>
      <x:c r="G87" s="8" t="n">
        <x:v>30</x:v>
      </x:c>
      <x:c r="H87" s="8" t="n">
        <x:v>15</x:v>
      </x:c>
      <x:c r="I87" s="9" t="n">
        <x:v>966132</x:v>
      </x:c>
      <x:c r="J87" s="9" t="n">
        <x:v>924220</x:v>
      </x:c>
      <x:c r="K87" s="8" t="n">
        <x:v>60</x:v>
      </x:c>
      <x:c r="L87" s="8" t="n">
        <x:v>25</x:v>
      </x:c>
      <x:c r="M87" s="10" t="n">
        <x:v>538.606683</x:v>
      </x:c>
      <x:c r="N87" s="10" t="n">
        <x:v>238.6125076999997</x:v>
      </x:c>
      <x:c r="O87" s="7" t="str"/>
      <x:c r="P87" s="7" t="str"/>
    </x:row>
    <x:row r="88">
      <x:c r="A88" s="2" t="str">
        <x:v>BV1-087</x:v>
      </x:c>
      <x:c r="B88" s="7" t="str">
        <x:v>NTL spatiotemporal analysis and querying</x:v>
      </x:c>
      <x:c r="C88" s="7" t="str">
        <x:v>For every Shanghai district, calculate monthly ANTL and the coefficient of variation from the twelve 2020 VIIRS monthly nighttime-light composites, identify each district's peak and trough months, and output a district-month table and seasonal profile chart.</x:v>
      </x:c>
      <x:c r="D88" s="2" t="str">
        <x:v>Pass</x:v>
      </x:c>
      <x:c r="E88" s="2" t="str">
        <x:v>Pass</x:v>
      </x:c>
      <x:c r="F88" s="7" t="str">
        <x:v>final-record-20260817</x:v>
      </x:c>
      <x:c r="G88" s="8" t="n">
        <x:v>37</x:v>
      </x:c>
      <x:c r="H88" s="8" t="n">
        <x:v>25</x:v>
      </x:c>
      <x:c r="I88" s="9" t="n">
        <x:v>1731652</x:v>
      </x:c>
      <x:c r="J88" s="9" t="n">
        <x:v>1995325</x:v>
      </x:c>
      <x:c r="K88" s="8" t="n">
        <x:v>55</x:v>
      </x:c>
      <x:c r="L88" s="8" t="n">
        <x:v>48</x:v>
      </x:c>
      <x:c r="M88" s="10" t="n">
        <x:v>622.2611936999983</x:v>
      </x:c>
      <x:c r="N88" s="10" t="n">
        <x:v>477.9228770000009</x:v>
      </x:c>
      <x:c r="O88" s="7" t="str"/>
      <x:c r="P88" s="7" t="str"/>
    </x:row>
    <x:row r="89">
      <x:c r="A89" s="2" t="str">
        <x:v>BV1-088</x:v>
      </x:c>
      <x:c r="B89" s="7" t="str">
        <x:v>NTL spatiotemporal analysis and querying</x:v>
      </x:c>
      <x:c r="C89" s="7" t="str">
        <x:v>Using Shanghai's 2020 annual nighttime-light image and the fixed 5 km grid, calculate every cell's share of Shanghai TNTL and the Gini coefficient of the grid-cell TNTL distribution, and output the grid, ranked share table, and concentration result.</x:v>
      </x:c>
      <x:c r="D89" s="2" t="str">
        <x:v>Fail</x:v>
      </x:c>
      <x:c r="E89" s="2" t="str">
        <x:v>Fail</x:v>
      </x:c>
      <x:c r="F89" s="7" t="str">
        <x:v>final-record-20260817</x:v>
      </x:c>
      <x:c r="G89" s="8" t="n">
        <x:v>8</x:v>
      </x:c>
      <x:c r="H89" s="8" t="n">
        <x:v>22</x:v>
      </x:c>
      <x:c r="I89" s="9" t="n">
        <x:v>146897</x:v>
      </x:c>
      <x:c r="J89" s="9" t="n">
        <x:v>1415538</x:v>
      </x:c>
      <x:c r="K89" s="8" t="n">
        <x:v>23</x:v>
      </x:c>
      <x:c r="L89" s="8" t="n">
        <x:v>35</x:v>
      </x:c>
      <x:c r="M89" s="10" t="n">
        <x:v>119.4925217</x:v>
      </x:c>
      <x:c r="N89" s="10" t="n">
        <x:v>382.91875549999895</x:v>
      </x:c>
      <x:c r="O89" s="7" t="str"/>
      <x:c r="P89" s="7" t="str"/>
    </x:row>
    <x:row r="90">
      <x:c r="A90" s="2" t="str">
        <x:v>BV1-089</x:v>
      </x:c>
      <x:c r="B90" s="7" t="str">
        <x:v>NTL spatiotemporal analysis and querying</x:v>
      </x:c>
      <x:c r="C90" s="7" t="str">
        <x:v>For each year from 2015 through 2020, calculate Shanghai's nighttime-light-weighted centroid from the annual NTL image, output the six centroid points, and report the year-to-year and total movement distance and direction.</x:v>
      </x:c>
      <x:c r="D90" s="2" t="str">
        <x:v>Pass</x:v>
      </x:c>
      <x:c r="E90" s="2" t="str">
        <x:v>Pass</x:v>
      </x:c>
      <x:c r="F90" s="7" t="str">
        <x:v>final-record-20260817</x:v>
      </x:c>
      <x:c r="G90" s="8" t="n">
        <x:v>31</x:v>
      </x:c>
      <x:c r="H90" s="8" t="n">
        <x:v>15</x:v>
      </x:c>
      <x:c r="I90" s="9" t="n">
        <x:v>1153960</x:v>
      </x:c>
      <x:c r="J90" s="9" t="n">
        <x:v>998242</x:v>
      </x:c>
      <x:c r="K90" s="8" t="n">
        <x:v>50</x:v>
      </x:c>
      <x:c r="L90" s="8" t="n">
        <x:v>24</x:v>
      </x:c>
      <x:c r="M90" s="10" t="n">
        <x:v>458.68872720000036</x:v>
      </x:c>
      <x:c r="N90" s="10" t="n">
        <x:v>230.70404319999943</x:v>
      </x:c>
      <x:c r="O90" s="7" t="str"/>
      <x:c r="P90" s="7" t="str"/>
    </x:row>
    <x:row r="91">
      <x:c r="A91" s="2" t="str">
        <x:v>BV1-090</x:v>
      </x:c>
      <x:c r="B91" s="7" t="str">
        <x:v>NTL spatiotemporal analysis and querying</x:v>
      </x:c>
      <x:c r="C91" s="7" t="str">
        <x:v>Using Shanghai's 2020 annual nighttime-light image, create 5 km annuli from 0 to 60 km around People's Square, calculate ANTL for each annulus, and output the ring layer, statistics table, and radial profile chart.</x:v>
      </x:c>
      <x:c r="D91" s="2" t="str">
        <x:v>Pass</x:v>
      </x:c>
      <x:c r="E91" s="2" t="str">
        <x:v>Pass</x:v>
      </x:c>
      <x:c r="F91" s="7" t="str">
        <x:v>final-record-20260817</x:v>
      </x:c>
      <x:c r="G91" s="8" t="n">
        <x:v>40</x:v>
      </x:c>
      <x:c r="H91" s="8" t="n">
        <x:v>11</x:v>
      </x:c>
      <x:c r="I91" s="9" t="n">
        <x:v>1554130</x:v>
      </x:c>
      <x:c r="J91" s="9" t="n">
        <x:v>635168</x:v>
      </x:c>
      <x:c r="K91" s="8" t="n">
        <x:v>62</x:v>
      </x:c>
      <x:c r="L91" s="8" t="n">
        <x:v>19</x:v>
      </x:c>
      <x:c r="M91" s="10" t="n">
        <x:v>681.4341428000007</x:v>
      </x:c>
      <x:c r="N91" s="10" t="n">
        <x:v>208.34655600000042</x:v>
      </x:c>
      <x:c r="O91" s="7" t="str"/>
      <x:c r="P91" s="7" t="str"/>
    </x:row>
    <x:row r="92">
      <x:c r="A92" s="2" t="str">
        <x:v>BV1-091</x:v>
      </x:c>
      <x:c r="B92" s="7" t="str">
        <x:v>NTL applications and modeling</x:v>
      </x:c>
      <x:c r="C92" s="7" t="str">
        <x:v>Using the supplied city panel, train an NTL-based carbon-emissions proxy on 2020-2022 and evaluate it on 2023 without leakage. Report the model, input units, held-out predictions, mean absolute error, root mean squared error, coefficient of determination, and the limitation that the relationship is not causal.</x:v>
      </x:c>
      <x:c r="D92" s="2" t="str">
        <x:v>Pass</x:v>
      </x:c>
      <x:c r="E92" s="2" t="str">
        <x:v>Pass</x:v>
      </x:c>
      <x:c r="F92" s="7" t="str">
        <x:v>final-record-20260817</x:v>
      </x:c>
      <x:c r="G92" s="8" t="n">
        <x:v>22</x:v>
      </x:c>
      <x:c r="H92" s="8" t="n">
        <x:v>18</x:v>
      </x:c>
      <x:c r="I92" s="9" t="n">
        <x:v>603311</x:v>
      </x:c>
      <x:c r="J92" s="9" t="n">
        <x:v>1208608</x:v>
      </x:c>
      <x:c r="K92" s="8" t="n">
        <x:v>31</x:v>
      </x:c>
      <x:c r="L92" s="8" t="n">
        <x:v>28</x:v>
      </x:c>
      <x:c r="M92" s="10" t="n">
        <x:v>291.17655699999887</x:v>
      </x:c>
      <x:c r="N92" s="10" t="n">
        <x:v>348.8920145000011</x:v>
      </x:c>
      <x:c r="O92" s="7" t="str"/>
      <x:c r="P92" s="7" t="str"/>
    </x:row>
    <x:row r="93">
      <x:c r="A93" s="2" t="str">
        <x:v>BV1-092</x:v>
      </x:c>
      <x:c r="B93" s="7" t="str">
        <x:v>NTL applications and modeling</x:v>
      </x:c>
      <x:c r="C93" s="7" t="str">
        <x:v>Compare artificial nighttime-light exposure within the Chongming Dongtan boundary in 2015 and 2023. For each year, report ANTL, TNTL, and the area with radiance greater than 1 nW cm-2 sr-1; output the two clipped rasters, exposure table, and change map without claiming ecological effects from NTL alone.</x:v>
      </x:c>
      <x:c r="D93" s="2" t="str">
        <x:v>Pass</x:v>
      </x:c>
      <x:c r="E93" s="2" t="str">
        <x:v>Pass</x:v>
      </x:c>
      <x:c r="F93" s="7" t="str">
        <x:v>final-record-20260817</x:v>
      </x:c>
      <x:c r="G93" s="8" t="n">
        <x:v>33</x:v>
      </x:c>
      <x:c r="H93" s="8" t="n">
        <x:v>11</x:v>
      </x:c>
      <x:c r="I93" s="9" t="n">
        <x:v>1678199</x:v>
      </x:c>
      <x:c r="J93" s="9" t="n">
        <x:v>674233</x:v>
      </x:c>
      <x:c r="K93" s="8" t="n">
        <x:v>53</x:v>
      </x:c>
      <x:c r="L93" s="8" t="n">
        <x:v>21</x:v>
      </x:c>
      <x:c r="M93" s="10" t="n">
        <x:v>703.0533656000007</x:v>
      </x:c>
      <x:c r="N93" s="10" t="n">
        <x:v>208.93251079999754</x:v>
      </x:c>
      <x:c r="O93" s="7" t="str"/>
      <x:c r="P93" s="7" t="str"/>
    </x:row>
    <x:row r="94">
      <x:c r="A94" s="2" t="str">
        <x:v>BV1-093</x:v>
      </x:c>
      <x:c r="B94" s="7" t="str">
        <x:v>NTL applications and modeling</x:v>
      </x:c>
      <x:c r="C94" s="7" t="str">
        <x:v>Using the supplied 2023 regional NTL and population records, calculate TNTL per capita and ANTL for each region, compare the rankings, and explain why the result is a descriptive development-disparity proxy rather than a direct poverty measure.</x:v>
      </x:c>
      <x:c r="D94" s="2" t="str">
        <x:v>Pass</x:v>
      </x:c>
      <x:c r="E94" s="2" t="str">
        <x:v>Pass</x:v>
      </x:c>
      <x:c r="F94" s="7" t="str">
        <x:v>final-record-20260817</x:v>
      </x:c>
      <x:c r="G94" s="8" t="n">
        <x:v>30</x:v>
      </x:c>
      <x:c r="H94" s="8" t="n">
        <x:v>18</x:v>
      </x:c>
      <x:c r="I94" s="9" t="n">
        <x:v>1147390</x:v>
      </x:c>
      <x:c r="J94" s="9" t="n">
        <x:v>1133126</x:v>
      </x:c>
      <x:c r="K94" s="8" t="n">
        <x:v>51</x:v>
      </x:c>
      <x:c r="L94" s="8" t="n">
        <x:v>24</x:v>
      </x:c>
      <x:c r="M94" s="10" t="n">
        <x:v>462.11238070000036</x:v>
      </x:c>
      <x:c r="N94" s="10" t="n">
        <x:v>288.89748300000065</x:v>
      </x:c>
      <x:c r="O94" s="7" t="str"/>
      <x:c r="P94" s="7" t="str"/>
    </x:row>
    <x:row r="95">
      <x:c r="A95" s="2" t="str">
        <x:v>BV1-094</x:v>
      </x:c>
      <x:c r="B95" s="7" t="str">
        <x:v>NTL applications and modeling</x:v>
      </x:c>
      <x:c r="C95" s="7" t="str">
        <x:v>From Shanghai's 2018 annual nighttime-light image, extract built-up areas once with a fixed radiance threshold of 10 and once with the existing SVM workflow, output both result rasters, and compare their area and spatial agreement. The comparison should describe method differences rather than rank the scientific accuracy of the existing SVM.</x:v>
      </x:c>
      <x:c r="D95" s="2" t="str">
        <x:v>Pass</x:v>
      </x:c>
      <x:c r="E95" s="2" t="str">
        <x:v>Pass</x:v>
      </x:c>
      <x:c r="F95" s="7" t="str">
        <x:v>final-record-20260817</x:v>
      </x:c>
      <x:c r="G95" s="8" t="n">
        <x:v>33</x:v>
      </x:c>
      <x:c r="H95" s="8" t="n">
        <x:v>16</x:v>
      </x:c>
      <x:c r="I95" s="9" t="n">
        <x:v>1610907</x:v>
      </x:c>
      <x:c r="J95" s="9" t="n">
        <x:v>942199</x:v>
      </x:c>
      <x:c r="K95" s="8" t="n">
        <x:v>51</x:v>
      </x:c>
      <x:c r="L95" s="8" t="n">
        <x:v>22</x:v>
      </x:c>
      <x:c r="M95" s="10" t="n">
        <x:v>785.5842439000007</x:v>
      </x:c>
      <x:c r="N95" s="10" t="n">
        <x:v>341.10238559999925</x:v>
      </x:c>
      <x:c r="O95" s="7" t="str"/>
      <x:c r="P95" s="7" t="str"/>
    </x:row>
    <x:row r="96">
      <x:c r="A96" s="2" t="str">
        <x:v>BV1-095</x:v>
      </x:c>
      <x:c r="B96" s="7" t="str">
        <x:v>NTL applications and modeling</x:v>
      </x:c>
      <x:c r="C96" s="7" t="str">
        <x:v>For Los Angeles County, perform a simple nighttime-light anomaly analysis inspired by Yuan et al. (2026), without claiming an exact reproduction of that paper. Use quality-screened VNP46A2 direct radiance for 2025-01-01 through 2025-01-12, calculate each pixel's 2025-01-01 to 2025-01-07 baseline mean and population standard deviation, and mark 2025-01-08 through 2025-01-12 values strictly above the baseline mean plus five standard deviations. Report the daily anomalous area and make a simple comparison with FIRMS observations. Clearly identify VNP46A2 and all benchmark-defined QA, threshold-comparison, projection, and area rules; treat the result as an observational screening analysis rather than wildfire damage or a paper-exact result.</x:v>
      </x:c>
      <x:c r="D96" s="2" t="str">
        <x:v>Fail</x:v>
      </x:c>
      <x:c r="E96" s="2" t="str">
        <x:v>Fail</x:v>
      </x:c>
      <x:c r="F96" s="7" t="str">
        <x:v>final-record-20260817</x:v>
      </x:c>
      <x:c r="G96" s="8" t="n">
        <x:v>48</x:v>
      </x:c>
      <x:c r="H96" s="8" t="n">
        <x:v>33</x:v>
      </x:c>
      <x:c r="I96" s="9" t="n">
        <x:v>3167486</x:v>
      </x:c>
      <x:c r="J96" s="9" t="n">
        <x:v>3280597</x:v>
      </x:c>
      <x:c r="K96" s="8" t="n">
        <x:v>171</x:v>
      </x:c>
      <x:c r="L96" s="8" t="n">
        <x:v>78</x:v>
      </x:c>
      <x:c r="M96" s="10" t="n">
        <x:v>1800.3623776999993</x:v>
      </x:c>
      <x:c r="N96" s="10" t="n">
        <x:v>1041.3171131000017</x:v>
      </x:c>
      <x:c r="O96" s="7" t="str"/>
      <x:c r="P96" s="7" t="str"/>
    </x:row>
    <x:row r="97">
      <x:c r="A97" s="2" t="str">
        <x:v>BV1-096</x:v>
      </x:c>
      <x:c r="B97" s="7" t="str">
        <x:v>NTL applications and modeling</x:v>
      </x:c>
      <x:c r="C97" s="7" t="str">
        <x:v>For the 2025-03-28 Myanmar earthquake, use the provided 100 km epicentral buffer to update nighttime-light outage and recovery through the latest quality-qualified VNP46A2 observation available as of the test date. Interpret dates in Asia/Yangon, distinguish local_first_night from the UTC product-file date, and report the baseline, latest observation date, valid-day counts, light change, recovery measure, completeness, and source.</x:v>
      </x:c>
      <x:c r="D97" s="2" t="str">
        <x:v>Fail</x:v>
      </x:c>
      <x:c r="E97" s="2" t="str">
        <x:v>Fail</x:v>
      </x:c>
      <x:c r="F97" s="7" t="str">
        <x:v>final-record-20260817</x:v>
      </x:c>
      <x:c r="G97" s="8" t="n">
        <x:v>53</x:v>
      </x:c>
      <x:c r="H97" s="8" t="n">
        <x:v>47</x:v>
      </x:c>
      <x:c r="I97" s="9" t="n">
        <x:v>2261911</x:v>
      </x:c>
      <x:c r="J97" s="9" t="n">
        <x:v>4991232</x:v>
      </x:c>
      <x:c r="K97" s="8" t="n">
        <x:v>107</x:v>
      </x:c>
      <x:c r="L97" s="8" t="n">
        <x:v>105</x:v>
      </x:c>
      <x:c r="M97" s="10" t="n">
        <x:v>861.4539694000014</x:v>
      </x:c>
      <x:c r="N97" s="10" t="n">
        <x:v>1427.1985917999991</x:v>
      </x:c>
      <x:c r="O97" s="7" t="str"/>
      <x:c r="P97" s="7" t="str"/>
    </x:row>
    <x:row r="98">
      <x:c r="A98" s="2" t="str">
        <x:v>BV1-097</x:v>
      </x:c>
      <x:c r="B98" s="7" t="str">
        <x:v>NTL applications and modeling</x:v>
      </x:c>
      <x:c r="C98" s="7" t="str">
        <x:v>Use the existing SVM workflow to extract Shanghai's 2020 built-up area, then identify pixels inside it with nighttime-light radiance below 1 nW cm-2 sr-1 as candidate low-light areas. Output the built-up mask, low-light candidate mask, and area statistics, and do not equate the result directly with unelectrified or deprived population.</x:v>
      </x:c>
      <x:c r="D98" s="2" t="str">
        <x:v>Pass</x:v>
      </x:c>
      <x:c r="E98" s="2" t="str">
        <x:v>Pass</x:v>
      </x:c>
      <x:c r="F98" s="7" t="str">
        <x:v>final-record-20260817</x:v>
      </x:c>
      <x:c r="G98" s="8" t="n">
        <x:v>51</x:v>
      </x:c>
      <x:c r="H98" s="8" t="n">
        <x:v>20</x:v>
      </x:c>
      <x:c r="I98" s="9" t="n">
        <x:v>2134009</x:v>
      </x:c>
      <x:c r="J98" s="9" t="n">
        <x:v>1171387</x:v>
      </x:c>
      <x:c r="K98" s="8" t="n">
        <x:v>84</x:v>
      </x:c>
      <x:c r="L98" s="8" t="n">
        <x:v>25</x:v>
      </x:c>
      <x:c r="M98" s="10" t="n">
        <x:v>901.8066375999988</x:v>
      </x:c>
      <x:c r="N98" s="10" t="n">
        <x:v>276.92542609999873</x:v>
      </x:c>
      <x:c r="O98" s="7" t="str"/>
      <x:c r="P98" s="7" t="str"/>
    </x:row>
    <x:row r="99">
      <x:c r="A99" s="2" t="str">
        <x:v>BV1-098</x:v>
      </x:c>
      <x:c r="B99" s="7" t="str">
        <x:v>NTL applications and modeling</x:v>
      </x:c>
      <x:c r="C99" s="7" t="str">
        <x:v>Using the supplied sequence of 30 nightly VNP46A2 observations, apply the provided fixed persistence rule to classify persistent lighting, transient brightening, and uncertain pixels, and output the persistence count, classification raster, summary table, and uncertainty mask.</x:v>
      </x:c>
      <x:c r="D99" s="2" t="str">
        <x:v>Pass</x:v>
      </x:c>
      <x:c r="E99" s="2" t="str">
        <x:v>Pass</x:v>
      </x:c>
      <x:c r="F99" s="7" t="str">
        <x:v>final-record-20260817</x:v>
      </x:c>
      <x:c r="G99" s="8" t="n">
        <x:v>38</x:v>
      </x:c>
      <x:c r="H99" s="8" t="n">
        <x:v>11</x:v>
      </x:c>
      <x:c r="I99" s="9" t="n">
        <x:v>1230525</x:v>
      </x:c>
      <x:c r="J99" s="9" t="n">
        <x:v>570197</x:v>
      </x:c>
      <x:c r="K99" s="8" t="n">
        <x:v>62</x:v>
      </x:c>
      <x:c r="L99" s="8" t="n">
        <x:v>16</x:v>
      </x:c>
      <x:c r="M99" s="10" t="n">
        <x:v>606.7492421999996</x:v>
      </x:c>
      <x:c r="N99" s="10" t="n">
        <x:v>157.7622009000006</x:v>
      </x:c>
      <x:c r="O99" s="7" t="str"/>
      <x:c r="P99" s="7" t="str"/>
    </x:row>
    <x:row r="100">
      <x:c r="A100" s="2" t="str">
        <x:v>BV1-099</x:v>
      </x:c>
      <x:c r="B100" s="7" t="str">
        <x:v>NTL applications and modeling</x:v>
      </x:c>
      <x:c r="C100" s="7" t="str">
        <x:v>Retrieve the latest authorized US-Israel-Iran conflict event records available as of the test date and rank cities separately in Iran and Israel by distinct attack-record count. Report every city tied for the raw country maximum. For each raw country-maximum city, use the same eligible source records that produced its ranking: audit their coordinate quality, deduplicate valid event points, buffer every point by exactly 3 km, and dissolve the buffers into that city's event-record footprint. Compare pre-event and post-event VNP46A2 ANTL and TNTL only within these footprints, and output the event-source snapshot, complete city ranking, point-and-buffer construction audit, footprint statistics table, GeoJSON, and map. Treat the counts as source-record counts and the footprints as event-record coverage areas rather than citywide boundaries; do not interpret the results as independently verified attack totals, damage, or causal effects.</x:v>
      </x:c>
      <x:c r="D100" s="2" t="str">
        <x:v>Fail</x:v>
      </x:c>
      <x:c r="E100" s="2" t="str">
        <x:v>Fail</x:v>
      </x:c>
      <x:c r="F100" s="7" t="str">
        <x:v>final-record-20260817</x:v>
      </x:c>
      <x:c r="G100" s="8" t="n">
        <x:v>16</x:v>
      </x:c>
      <x:c r="H100" s="8" t="n">
        <x:v>5</x:v>
      </x:c>
      <x:c r="I100" s="9" t="n">
        <x:v>315977</x:v>
      </x:c>
      <x:c r="J100" s="9" t="n">
        <x:v>208529</x:v>
      </x:c>
      <x:c r="K100" s="8" t="n">
        <x:v>32</x:v>
      </x:c>
      <x:c r="L100" s="8" t="n">
        <x:v>15</x:v>
      </x:c>
      <x:c r="M100" s="10" t="n">
        <x:v>269.53813140000057</x:v>
      </x:c>
      <x:c r="N100" s="10" t="n">
        <x:v>82.08419399999912</x:v>
      </x:c>
      <x:c r="O100" s="7" t="str"/>
      <x:c r="P100" s="7" t="str"/>
    </x:row>
    <x:row r="101">
      <x:c r="A101" s="2" t="str">
        <x:v>BV1-100</x:v>
      </x:c>
      <x:c r="B101" s="7" t="str">
        <x:v>NTL applications and modeling</x:v>
      </x:c>
      <x:c r="C101" s="7" t="str">
        <x:v>For every Shanghai district, summarize 2020 ANTL and the number of commercial POIs, compare their relationship, and output the district table, scatter plot, and spatial distribution map. Report POI source and category rules, and treat the relationship as descriptive rather than causal.</x:v>
      </x:c>
      <x:c r="D101" s="2" t="str">
        <x:v>Pass</x:v>
      </x:c>
      <x:c r="E101" s="2" t="str">
        <x:v>Pass</x:v>
      </x:c>
      <x:c r="F101" s="7" t="str">
        <x:v>final-record-20260817</x:v>
      </x:c>
      <x:c r="G101" s="8" t="n">
        <x:v>50</x:v>
      </x:c>
      <x:c r="H101" s="8" t="n">
        <x:v>24</x:v>
      </x:c>
      <x:c r="I101" s="9" t="n">
        <x:v>2099823</x:v>
      </x:c>
      <x:c r="J101" s="9" t="n">
        <x:v>1859247</x:v>
      </x:c>
      <x:c r="K101" s="8" t="n">
        <x:v>85</x:v>
      </x:c>
      <x:c r="L101" s="8" t="n">
        <x:v>38</x:v>
      </x:c>
      <x:c r="M101" s="10" t="n">
        <x:v>899.5775147999993</x:v>
      </x:c>
      <x:c r="N101" s="10" t="n">
        <x:v>408.13581049999993</x:v>
      </x:c>
      <x:c r="O101" s="7" t="str"/>
      <x:c r="P101" s="7" t="str"/>
    </x:row>
    <x:row r="102">
      <x:c r="A102" s="2" t="str">
        <x:v>BV1-101</x:v>
      </x:c>
      <x:c r="B102" s="7" t="str">
        <x:v>NTL data retrieval and preprocessing</x:v>
      </x:c>
      <x:c r="C102" s="7" t="str">
        <x:v>From the supplied catalog records, select the annual nighttime-light product that covers Shanghai in 2018, and report its dataset ID, band, and nominal resolution.</x:v>
      </x:c>
      <x:c r="D102" s="2" t="str">
        <x:v>Pass</x:v>
      </x:c>
      <x:c r="E102" s="2" t="str">
        <x:v>Pass</x:v>
      </x:c>
      <x:c r="F102" s="7" t="str">
        <x:v>final-record-20260817</x:v>
      </x:c>
      <x:c r="G102" s="8" t="n">
        <x:v>3</x:v>
      </x:c>
      <x:c r="H102" s="8" t="n">
        <x:v>3</x:v>
      </x:c>
      <x:c r="I102" s="9" t="n">
        <x:v>37571</x:v>
      </x:c>
      <x:c r="J102" s="9" t="n">
        <x:v>112099</x:v>
      </x:c>
      <x:c r="K102" s="8" t="n">
        <x:v>3</x:v>
      </x:c>
      <x:c r="L102" s="8" t="n">
        <x:v>3</x:v>
      </x:c>
      <x:c r="M102" s="10" t="n">
        <x:v>41.529916599999524</x:v>
      </x:c>
      <x:c r="N102" s="10" t="n">
        <x:v>33.669232200000806</x:v>
      </x:c>
      <x:c r="O102" s="7" t="str"/>
      <x:c r="P102" s="7" t="str"/>
    </x:row>
    <x:row r="103">
      <x:c r="A103" s="2" t="str">
        <x:v>BV1-102</x:v>
      </x:c>
      <x:c r="B103" s="7" t="str">
        <x:v>NTL data retrieval and preprocessing</x:v>
      </x:c>
      <x:c r="C103" s="7" t="str">
        <x:v>From the supplied catalog records, select the annual nighttime-light product that covers Beijing in 2019, and report its dataset ID, band, and nominal resolution.</x:v>
      </x:c>
      <x:c r="D103" s="2" t="str">
        <x:v>Pass</x:v>
      </x:c>
      <x:c r="E103" s="2" t="str">
        <x:v>Pass</x:v>
      </x:c>
      <x:c r="F103" s="7" t="str">
        <x:v>final-record-20260817</x:v>
      </x:c>
      <x:c r="G103" s="8" t="n">
        <x:v>6</x:v>
      </x:c>
      <x:c r="H103" s="8" t="n">
        <x:v>5</x:v>
      </x:c>
      <x:c r="I103" s="9" t="n">
        <x:v>103529</x:v>
      </x:c>
      <x:c r="J103" s="9" t="n">
        <x:v>190793</x:v>
      </x:c>
      <x:c r="K103" s="8" t="n">
        <x:v>5</x:v>
      </x:c>
      <x:c r="L103" s="8" t="n">
        <x:v>5</x:v>
      </x:c>
      <x:c r="M103" s="10" t="n">
        <x:v>62.05649600000015</x:v>
      </x:c>
      <x:c r="N103" s="10" t="n">
        <x:v>46.168612599999506</x:v>
      </x:c>
      <x:c r="O103" s="7" t="str"/>
      <x:c r="P103" s="7" t="str"/>
    </x:row>
    <x:row r="104">
      <x:c r="A104" s="2" t="str">
        <x:v>BV1-103</x:v>
      </x:c>
      <x:c r="B104" s="7" t="str">
        <x:v>NTL data retrieval and preprocessing</x:v>
      </x:c>
      <x:c r="C104" s="7" t="str">
        <x:v>From the supplied catalog records, select the annual nighttime-light product that covers Guangzhou in 2020, and report its dataset ID, band, and nominal resolution.</x:v>
      </x:c>
      <x:c r="D104" s="2" t="str">
        <x:v>Pass</x:v>
      </x:c>
      <x:c r="E104" s="2" t="str">
        <x:v>Pass</x:v>
      </x:c>
      <x:c r="F104" s="7" t="str">
        <x:v>final-record-20260817</x:v>
      </x:c>
      <x:c r="G104" s="8" t="n">
        <x:v>3</x:v>
      </x:c>
      <x:c r="H104" s="8" t="n">
        <x:v>3</x:v>
      </x:c>
      <x:c r="I104" s="9" t="n">
        <x:v>37777</x:v>
      </x:c>
      <x:c r="J104" s="9" t="n">
        <x:v>112283</x:v>
      </x:c>
      <x:c r="K104" s="8" t="n">
        <x:v>3</x:v>
      </x:c>
      <x:c r="L104" s="8" t="n">
        <x:v>3</x:v>
      </x:c>
      <x:c r="M104" s="10" t="n">
        <x:v>44.84640589999981</x:v>
      </x:c>
      <x:c r="N104" s="10" t="n">
        <x:v>33.74878079999962</x:v>
      </x:c>
      <x:c r="O104" s="7" t="str"/>
      <x:c r="P104" s="7" t="str"/>
    </x:row>
    <x:row r="105">
      <x:c r="A105" s="2" t="str">
        <x:v>BV1-104</x:v>
      </x:c>
      <x:c r="B105" s="7" t="str">
        <x:v>NTL data retrieval and preprocessing</x:v>
      </x:c>
      <x:c r="C105" s="7" t="str">
        <x:v>From the supplied catalog records, select the annual nighttime-light product that covers Chengdu in 2021, and report its dataset ID, band, and nominal resolution.</x:v>
      </x:c>
      <x:c r="D105" s="2" t="str">
        <x:v>Pass</x:v>
      </x:c>
      <x:c r="E105" s="2" t="str">
        <x:v>Pass</x:v>
      </x:c>
      <x:c r="F105" s="7" t="str">
        <x:v>final-record-20260817</x:v>
      </x:c>
      <x:c r="G105" s="8" t="n">
        <x:v>3</x:v>
      </x:c>
      <x:c r="H105" s="8" t="n">
        <x:v>4</x:v>
      </x:c>
      <x:c r="I105" s="9" t="n">
        <x:v>37605</x:v>
      </x:c>
      <x:c r="J105" s="9" t="n">
        <x:v>152064</x:v>
      </x:c>
      <x:c r="K105" s="8" t="n">
        <x:v>3</x:v>
      </x:c>
      <x:c r="L105" s="8" t="n">
        <x:v>5</x:v>
      </x:c>
      <x:c r="M105" s="10" t="n">
        <x:v>41.86755079999966</x:v>
      </x:c>
      <x:c r="N105" s="10" t="n">
        <x:v>41.810553499999514</x:v>
      </x:c>
      <x:c r="O105" s="7" t="str"/>
      <x:c r="P105" s="7" t="str"/>
    </x:row>
    <x:row r="106">
      <x:c r="A106" s="2" t="str">
        <x:v>BV1-105</x:v>
      </x:c>
      <x:c r="B106" s="7" t="str">
        <x:v>NTL data retrieval and preprocessing</x:v>
      </x:c>
      <x:c r="C106" s="7" t="str">
        <x:v>From the supplied catalog records, select the annual nighttime-light product that covers Wuhan in 2022, and report its dataset ID, band, and nominal resolution.</x:v>
      </x:c>
      <x:c r="D106" s="2" t="str">
        <x:v>Pass</x:v>
      </x:c>
      <x:c r="E106" s="2" t="str">
        <x:v>Pass</x:v>
      </x:c>
      <x:c r="F106" s="7" t="str">
        <x:v>final-record-20260817</x:v>
      </x:c>
      <x:c r="G106" s="8" t="n">
        <x:v>3</x:v>
      </x:c>
      <x:c r="H106" s="8" t="n">
        <x:v>3</x:v>
      </x:c>
      <x:c r="I106" s="9" t="n">
        <x:v>37864</x:v>
      </x:c>
      <x:c r="J106" s="9" t="n">
        <x:v>112743</x:v>
      </x:c>
      <x:c r="K106" s="8" t="n">
        <x:v>3</x:v>
      </x:c>
      <x:c r="L106" s="8" t="n">
        <x:v>4</x:v>
      </x:c>
      <x:c r="M106" s="10" t="n">
        <x:v>35.275471500000094</x:v>
      </x:c>
      <x:c r="N106" s="10" t="n">
        <x:v>32.453894799999944</x:v>
      </x:c>
      <x:c r="O106" s="7" t="str"/>
      <x:c r="P106" s="7" t="str"/>
    </x:row>
    <x:row r="107">
      <x:c r="A107" s="2" t="str">
        <x:v>BV1-106</x:v>
      </x:c>
      <x:c r="B107" s="7" t="str">
        <x:v>NTL data retrieval and preprocessing</x:v>
      </x:c>
      <x:c r="C107" s="7" t="str">
        <x:v>Select the monthly nighttime-light product covering Shanghai in 2019-02 from the supplied catalog records, and report its dataset ID, band, and stray-light-correction status.</x:v>
      </x:c>
      <x:c r="D107" s="2" t="str">
        <x:v>Pass</x:v>
      </x:c>
      <x:c r="E107" s="2" t="str">
        <x:v>Pass</x:v>
      </x:c>
      <x:c r="F107" s="7" t="str">
        <x:v>final-record-20260817</x:v>
      </x:c>
      <x:c r="G107" s="8" t="n">
        <x:v>3</x:v>
      </x:c>
      <x:c r="H107" s="8" t="n">
        <x:v>4</x:v>
      </x:c>
      <x:c r="I107" s="9" t="n">
        <x:v>37641</x:v>
      </x:c>
      <x:c r="J107" s="9" t="n">
        <x:v>151893</x:v>
      </x:c>
      <x:c r="K107" s="8" t="n">
        <x:v>3</x:v>
      </x:c>
      <x:c r="L107" s="8" t="n">
        <x:v>5</x:v>
      </x:c>
      <x:c r="M107" s="10" t="n">
        <x:v>32.07347420000042</x:v>
      </x:c>
      <x:c r="N107" s="10" t="n">
        <x:v>40.42663379999976</x:v>
      </x:c>
      <x:c r="O107" s="7" t="str"/>
      <x:c r="P107" s="7" t="str"/>
    </x:row>
    <x:row r="108">
      <x:c r="A108" s="2" t="str">
        <x:v>BV1-107</x:v>
      </x:c>
      <x:c r="B108" s="7" t="str">
        <x:v>NTL data retrieval and preprocessing</x:v>
      </x:c>
      <x:c r="C108" s="7" t="str">
        <x:v>Select the monthly nighttime-light product covering Beijing in 2020-03 from the supplied catalog records, and report its dataset ID, band, and stray-light-correction status.</x:v>
      </x:c>
      <x:c r="D108" s="2" t="str">
        <x:v>Pass</x:v>
      </x:c>
      <x:c r="E108" s="2" t="str">
        <x:v>Pass</x:v>
      </x:c>
      <x:c r="F108" s="7" t="str">
        <x:v>final-record-20260817</x:v>
      </x:c>
      <x:c r="G108" s="8" t="n">
        <x:v>3</x:v>
      </x:c>
      <x:c r="H108" s="8" t="n">
        <x:v>4</x:v>
      </x:c>
      <x:c r="I108" s="9" t="n">
        <x:v>37930</x:v>
      </x:c>
      <x:c r="J108" s="9" t="n">
        <x:v>152271</x:v>
      </x:c>
      <x:c r="K108" s="8" t="n">
        <x:v>3</x:v>
      </x:c>
      <x:c r="L108" s="8" t="n">
        <x:v>5</x:v>
      </x:c>
      <x:c r="M108" s="10" t="n">
        <x:v>33.95018580000033</x:v>
      </x:c>
      <x:c r="N108" s="10" t="n">
        <x:v>40.19716609999978</x:v>
      </x:c>
      <x:c r="O108" s="7" t="str"/>
      <x:c r="P108" s="7" t="str"/>
    </x:row>
    <x:row r="109">
      <x:c r="A109" s="2" t="str">
        <x:v>BV1-108</x:v>
      </x:c>
      <x:c r="B109" s="7" t="str">
        <x:v>NTL data retrieval and preprocessing</x:v>
      </x:c>
      <x:c r="C109" s="7" t="str">
        <x:v>Select the monthly nighttime-light product covering Guangzhou in 2021-04 from the supplied catalog records, and report its dataset ID, band, and stray-light-correction status.</x:v>
      </x:c>
      <x:c r="D109" s="2" t="str">
        <x:v>Pass</x:v>
      </x:c>
      <x:c r="E109" s="2" t="str">
        <x:v>Pass</x:v>
      </x:c>
      <x:c r="F109" s="7" t="str">
        <x:v>final-record-20260817</x:v>
      </x:c>
      <x:c r="G109" s="8" t="n">
        <x:v>14</x:v>
      </x:c>
      <x:c r="H109" s="8" t="n">
        <x:v>4</x:v>
      </x:c>
      <x:c r="I109" s="9" t="n">
        <x:v>313684</x:v>
      </x:c>
      <x:c r="J109" s="9" t="n">
        <x:v>151597</x:v>
      </x:c>
      <x:c r="K109" s="8" t="n">
        <x:v>18</x:v>
      </x:c>
      <x:c r="L109" s="8" t="n">
        <x:v>4</x:v>
      </x:c>
      <x:c r="M109" s="10" t="n">
        <x:v>104.6459020000002</x:v>
      </x:c>
      <x:c r="N109" s="10" t="n">
        <x:v>36.161351200000354</x:v>
      </x:c>
      <x:c r="O109" s="7" t="str"/>
      <x:c r="P109" s="7" t="str"/>
    </x:row>
    <x:row r="110">
      <x:c r="A110" s="2" t="str">
        <x:v>BV1-109</x:v>
      </x:c>
      <x:c r="B110" s="7" t="str">
        <x:v>NTL data retrieval and preprocessing</x:v>
      </x:c>
      <x:c r="C110" s="7" t="str">
        <x:v>Select the monthly nighttime-light product covering Chengdu in 2022-05 from the supplied catalog records, and report its dataset ID, band, and stray-light-correction status.</x:v>
      </x:c>
      <x:c r="D110" s="2" t="str">
        <x:v>Pass</x:v>
      </x:c>
      <x:c r="E110" s="2" t="str">
        <x:v>Pass</x:v>
      </x:c>
      <x:c r="F110" s="7" t="str">
        <x:v>final-record-20260817</x:v>
      </x:c>
      <x:c r="G110" s="8" t="n">
        <x:v>3</x:v>
      </x:c>
      <x:c r="H110" s="8" t="n">
        <x:v>4</x:v>
      </x:c>
      <x:c r="I110" s="9" t="n">
        <x:v>38530</x:v>
      </x:c>
      <x:c r="J110" s="9" t="n">
        <x:v>152467</x:v>
      </x:c>
      <x:c r="K110" s="8" t="n">
        <x:v>3</x:v>
      </x:c>
      <x:c r="L110" s="8" t="n">
        <x:v>5</x:v>
      </x:c>
      <x:c r="M110" s="10" t="n">
        <x:v>39.02049729999999</x:v>
      </x:c>
      <x:c r="N110" s="10" t="n">
        <x:v>39.11795879999954</x:v>
      </x:c>
      <x:c r="O110" s="7" t="str"/>
      <x:c r="P110" s="7" t="str"/>
    </x:row>
    <x:row r="111">
      <x:c r="A111" s="2" t="str">
        <x:v>BV1-110</x:v>
      </x:c>
      <x:c r="B111" s="7" t="str">
        <x:v>NTL data retrieval and preprocessing</x:v>
      </x:c>
      <x:c r="C111" s="7" t="str">
        <x:v>Select the monthly nighttime-light product covering Wuhan in 2023-06 from the supplied catalog records, and report its dataset ID, band, and stray-light-correction status.</x:v>
      </x:c>
      <x:c r="D111" s="2" t="str">
        <x:v>Pass</x:v>
      </x:c>
      <x:c r="E111" s="2" t="str">
        <x:v>Pass</x:v>
      </x:c>
      <x:c r="F111" s="7" t="str">
        <x:v>final-record-20260817</x:v>
      </x:c>
      <x:c r="G111" s="8" t="n">
        <x:v>3</x:v>
      </x:c>
      <x:c r="H111" s="8" t="n">
        <x:v>4</x:v>
      </x:c>
      <x:c r="I111" s="9" t="n">
        <x:v>37330</x:v>
      </x:c>
      <x:c r="J111" s="9" t="n">
        <x:v>152278</x:v>
      </x:c>
      <x:c r="K111" s="8" t="n">
        <x:v>3</x:v>
      </x:c>
      <x:c r="L111" s="8" t="n">
        <x:v>5</x:v>
      </x:c>
      <x:c r="M111" s="10" t="n">
        <x:v>30.048950600000353</x:v>
      </x:c>
      <x:c r="N111" s="10" t="n">
        <x:v>45.43780240000069</x:v>
      </x:c>
      <x:c r="O111" s="7" t="str"/>
      <x:c r="P111" s="7" t="str"/>
    </x:row>
    <x:row r="112">
      <x:c r="A112" s="2" t="str">
        <x:v>BV1-111</x:v>
      </x:c>
      <x:c r="B112" s="7" t="str">
        <x:v>NTL data retrieval and preprocessing</x:v>
      </x:c>
      <x:c r="C112" s="7" t="str">
        <x:v>Using the supplied availability records for Shanghai, select the latest quality-qualified VNP46A2 observation no later than 2024-02-13, and report the observation date and valid fraction.</x:v>
      </x:c>
      <x:c r="D112" s="2" t="str">
        <x:v>Pass</x:v>
      </x:c>
      <x:c r="E112" s="2" t="str">
        <x:v>Pass</x:v>
      </x:c>
      <x:c r="F112" s="7" t="str">
        <x:v>final-record-20260817</x:v>
      </x:c>
      <x:c r="G112" s="8" t="n">
        <x:v>12</x:v>
      </x:c>
      <x:c r="H112" s="8" t="n">
        <x:v>3</x:v>
      </x:c>
      <x:c r="I112" s="9" t="n">
        <x:v>224644</x:v>
      </x:c>
      <x:c r="J112" s="9" t="n">
        <x:v>112932</x:v>
      </x:c>
      <x:c r="K112" s="8" t="n">
        <x:v>15</x:v>
      </x:c>
      <x:c r="L112" s="8" t="n">
        <x:v>5</x:v>
      </x:c>
      <x:c r="M112" s="10" t="n">
        <x:v>80.61615439999969</x:v>
      </x:c>
      <x:c r="N112" s="10" t="n">
        <x:v>32.35803860000033</x:v>
      </x:c>
      <x:c r="O112" s="7" t="str"/>
      <x:c r="P112" s="7" t="str"/>
    </x:row>
    <x:row r="113">
      <x:c r="A113" s="2" t="str">
        <x:v>BV1-112</x:v>
      </x:c>
      <x:c r="B113" s="7" t="str">
        <x:v>NTL data retrieval and preprocessing</x:v>
      </x:c>
      <x:c r="C113" s="7" t="str">
        <x:v>Using the supplied availability records for Beijing, select the latest quality-qualified VNP46A2 observation no later than 2024-02-14, and report the observation date and valid fraction.</x:v>
      </x:c>
      <x:c r="D113" s="2" t="str">
        <x:v>Pass</x:v>
      </x:c>
      <x:c r="E113" s="2" t="str">
        <x:v>Pass</x:v>
      </x:c>
      <x:c r="F113" s="7" t="str">
        <x:v>final-record-20260817</x:v>
      </x:c>
      <x:c r="G113" s="8" t="n">
        <x:v>3</x:v>
      </x:c>
      <x:c r="H113" s="8" t="n">
        <x:v>3</x:v>
      </x:c>
      <x:c r="I113" s="9" t="n">
        <x:v>37671</x:v>
      </x:c>
      <x:c r="J113" s="9" t="n">
        <x:v>112412</x:v>
      </x:c>
      <x:c r="K113" s="8" t="n">
        <x:v>3</x:v>
      </x:c>
      <x:c r="L113" s="8" t="n">
        <x:v>3</x:v>
      </x:c>
      <x:c r="M113" s="10" t="n">
        <x:v>31.36443380000037</x:v>
      </x:c>
      <x:c r="N113" s="10" t="n">
        <x:v>25.768943600000057</x:v>
      </x:c>
      <x:c r="O113" s="7" t="str"/>
      <x:c r="P113" s="7" t="str"/>
    </x:row>
    <x:row r="114">
      <x:c r="A114" s="2" t="str">
        <x:v>BV1-113</x:v>
      </x:c>
      <x:c r="B114" s="7" t="str">
        <x:v>NTL data retrieval and preprocessing</x:v>
      </x:c>
      <x:c r="C114" s="7" t="str">
        <x:v>Using the supplied availability records for Guangzhou, select the latest quality-qualified VNP46A2 observation no later than 2024-02-15, and report the observation date and valid fraction.</x:v>
      </x:c>
      <x:c r="D114" s="2" t="str">
        <x:v>Pass</x:v>
      </x:c>
      <x:c r="E114" s="2" t="str">
        <x:v>Pass</x:v>
      </x:c>
      <x:c r="F114" s="7" t="str">
        <x:v>final-record-20260817</x:v>
      </x:c>
      <x:c r="G114" s="8" t="n">
        <x:v>3</x:v>
      </x:c>
      <x:c r="H114" s="8" t="n">
        <x:v>3</x:v>
      </x:c>
      <x:c r="I114" s="9" t="n">
        <x:v>37803</x:v>
      </x:c>
      <x:c r="J114" s="9" t="n">
        <x:v>112420</x:v>
      </x:c>
      <x:c r="K114" s="8" t="n">
        <x:v>3</x:v>
      </x:c>
      <x:c r="L114" s="8" t="n">
        <x:v>4</x:v>
      </x:c>
      <x:c r="M114" s="10" t="n">
        <x:v>32.14491939999971</x:v>
      </x:c>
      <x:c r="N114" s="10" t="n">
        <x:v>34.618940600000315</x:v>
      </x:c>
      <x:c r="O114" s="7" t="str"/>
      <x:c r="P114" s="7" t="str"/>
    </x:row>
    <x:row r="115">
      <x:c r="A115" s="2" t="str">
        <x:v>BV1-114</x:v>
      </x:c>
      <x:c r="B115" s="7" t="str">
        <x:v>NTL data retrieval and preprocessing</x:v>
      </x:c>
      <x:c r="C115" s="7" t="str">
        <x:v>Using the supplied availability records for Chengdu, select the latest quality-qualified VNP46A2 observation no later than 2024-02-16, and report the observation date and valid fraction.</x:v>
      </x:c>
      <x:c r="D115" s="2" t="str">
        <x:v>Pass</x:v>
      </x:c>
      <x:c r="E115" s="2" t="str">
        <x:v>Pass</x:v>
      </x:c>
      <x:c r="F115" s="7" t="str">
        <x:v>final-record-20260817</x:v>
      </x:c>
      <x:c r="G115" s="8" t="n">
        <x:v>11</x:v>
      </x:c>
      <x:c r="H115" s="8" t="n">
        <x:v>9</x:v>
      </x:c>
      <x:c r="I115" s="9" t="n">
        <x:v>197238</x:v>
      </x:c>
      <x:c r="J115" s="9" t="n">
        <x:v>385586</x:v>
      </x:c>
      <x:c r="K115" s="8" t="n">
        <x:v>13</x:v>
      </x:c>
      <x:c r="L115" s="8" t="n">
        <x:v>10</x:v>
      </x:c>
      <x:c r="M115" s="10" t="n">
        <x:v>71.21092249999947</x:v>
      </x:c>
      <x:c r="N115" s="10" t="n">
        <x:v>83.92418170000019</x:v>
      </x:c>
      <x:c r="O115" s="7" t="str"/>
      <x:c r="P115" s="7" t="str"/>
    </x:row>
    <x:row r="116">
      <x:c r="A116" s="2" t="str">
        <x:v>BV1-115</x:v>
      </x:c>
      <x:c r="B116" s="7" t="str">
        <x:v>NTL data retrieval and preprocessing</x:v>
      </x:c>
      <x:c r="C116" s="7" t="str">
        <x:v>Using the supplied availability records for Wuhan, select the latest quality-qualified VNP46A2 observation no later than 2024-02-17, and report the observation date and valid fraction.</x:v>
      </x:c>
      <x:c r="D116" s="2" t="str">
        <x:v>Pass</x:v>
      </x:c>
      <x:c r="E116" s="2" t="str">
        <x:v>Pass</x:v>
      </x:c>
      <x:c r="F116" s="7" t="str">
        <x:v>final-record-20260817</x:v>
      </x:c>
      <x:c r="G116" s="8" t="n">
        <x:v>3</x:v>
      </x:c>
      <x:c r="H116" s="8" t="n">
        <x:v>3</x:v>
      </x:c>
      <x:c r="I116" s="9" t="n">
        <x:v>37445</x:v>
      </x:c>
      <x:c r="J116" s="9" t="n">
        <x:v>112129</x:v>
      </x:c>
      <x:c r="K116" s="8" t="n">
        <x:v>3</x:v>
      </x:c>
      <x:c r="L116" s="8" t="n">
        <x:v>3</x:v>
      </x:c>
      <x:c r="M116" s="10" t="n">
        <x:v>28.89257869999983</x:v>
      </x:c>
      <x:c r="N116" s="10" t="n">
        <x:v>32.06216419999964</x:v>
      </x:c>
      <x:c r="O116" s="7" t="str"/>
      <x:c r="P116" s="7" t="str"/>
    </x:row>
    <x:row r="117">
      <x:c r="A117" s="2" t="str">
        <x:v>BV1-116</x:v>
      </x:c>
      <x:c r="B117" s="7" t="str">
        <x:v>NTL data retrieval and preprocessing</x:v>
      </x:c>
      <x:c r="C117" s="7" t="str">
        <x:v>Subset the supplied annual Shanghai nighttime-light records to 2014–2018 inclusive, then report the retained years, count, sum, and mean ANTL.</x:v>
      </x:c>
      <x:c r="D117" s="2" t="str">
        <x:v>Pass</x:v>
      </x:c>
      <x:c r="E117" s="2" t="str">
        <x:v>Pass</x:v>
      </x:c>
      <x:c r="F117" s="7" t="str">
        <x:v>final-record-20260817</x:v>
      </x:c>
      <x:c r="G117" s="8" t="n">
        <x:v>10</x:v>
      </x:c>
      <x:c r="H117" s="8" t="n">
        <x:v>7</x:v>
      </x:c>
      <x:c r="I117" s="9" t="n">
        <x:v>165320</x:v>
      </x:c>
      <x:c r="J117" s="9" t="n">
        <x:v>285894</x:v>
      </x:c>
      <x:c r="K117" s="8" t="n">
        <x:v>12</x:v>
      </x:c>
      <x:c r="L117" s="8" t="n">
        <x:v>9</x:v>
      </x:c>
      <x:c r="M117" s="10" t="n">
        <x:v>66.03752350000013</x:v>
      </x:c>
      <x:c r="N117" s="10" t="n">
        <x:v>49.61596499999996</x:v>
      </x:c>
      <x:c r="O117" s="7" t="str"/>
      <x:c r="P117" s="7" t="str"/>
    </x:row>
    <x:row r="118">
      <x:c r="A118" s="2" t="str">
        <x:v>BV1-117</x:v>
      </x:c>
      <x:c r="B118" s="7" t="str">
        <x:v>NTL data retrieval and preprocessing</x:v>
      </x:c>
      <x:c r="C118" s="7" t="str">
        <x:v>Subset the supplied annual Beijing nighttime-light records to 2015–2019 inclusive, then report the retained years, count, sum, and mean ANTL.</x:v>
      </x:c>
      <x:c r="D118" s="2" t="str">
        <x:v>Pass</x:v>
      </x:c>
      <x:c r="E118" s="2" t="str">
        <x:v>Pass</x:v>
      </x:c>
      <x:c r="F118" s="7" t="str">
        <x:v>final-record-20260817</x:v>
      </x:c>
      <x:c r="G118" s="8" t="n">
        <x:v>13</x:v>
      </x:c>
      <x:c r="H118" s="8" t="n">
        <x:v>10</x:v>
      </x:c>
      <x:c r="I118" s="9" t="n">
        <x:v>215452</x:v>
      </x:c>
      <x:c r="J118" s="9" t="n">
        <x:v>418298</x:v>
      </x:c>
      <x:c r="K118" s="8" t="n">
        <x:v>16</x:v>
      </x:c>
      <x:c r="L118" s="8" t="n">
        <x:v>10</x:v>
      </x:c>
      <x:c r="M118" s="10" t="n">
        <x:v>67.3746357</x:v>
      </x:c>
      <x:c r="N118" s="10" t="n">
        <x:v>47.03919589999987</x:v>
      </x:c>
      <x:c r="O118" s="7" t="str"/>
      <x:c r="P118" s="7" t="str"/>
    </x:row>
    <x:row r="119">
      <x:c r="A119" s="2" t="str">
        <x:v>BV1-118</x:v>
      </x:c>
      <x:c r="B119" s="7" t="str">
        <x:v>NTL data retrieval and preprocessing</x:v>
      </x:c>
      <x:c r="C119" s="7" t="str">
        <x:v>Subset the supplied annual Guangzhou nighttime-light records to 2016–2020 inclusive, then report the retained years, count, sum, and mean ANTL.</x:v>
      </x:c>
      <x:c r="D119" s="2" t="str">
        <x:v>Pass</x:v>
      </x:c>
      <x:c r="E119" s="2" t="str">
        <x:v>Pass</x:v>
      </x:c>
      <x:c r="F119" s="7" t="str">
        <x:v>final-record-20260817</x:v>
      </x:c>
      <x:c r="G119" s="8" t="n">
        <x:v>10</x:v>
      </x:c>
      <x:c r="H119" s="8" t="n">
        <x:v>7</x:v>
      </x:c>
      <x:c r="I119" s="9" t="n">
        <x:v>182635</x:v>
      </x:c>
      <x:c r="J119" s="9" t="n">
        <x:v>287911</x:v>
      </x:c>
      <x:c r="K119" s="8" t="n">
        <x:v>10</x:v>
      </x:c>
      <x:c r="L119" s="8" t="n">
        <x:v>9</x:v>
      </x:c>
      <x:c r="M119" s="10" t="n">
        <x:v>57.31054010000025</x:v>
      </x:c>
      <x:c r="N119" s="10" t="n">
        <x:v>53.29711419999967</x:v>
      </x:c>
      <x:c r="O119" s="7" t="str"/>
      <x:c r="P119" s="7" t="str"/>
    </x:row>
    <x:row r="120">
      <x:c r="A120" s="2" t="str">
        <x:v>BV1-119</x:v>
      </x:c>
      <x:c r="B120" s="7" t="str">
        <x:v>NTL data retrieval and preprocessing</x:v>
      </x:c>
      <x:c r="C120" s="7" t="str">
        <x:v>Subset the supplied annual Chengdu nighttime-light records to 2017–2021 inclusive, then report the retained years, count, sum, and mean ANTL.</x:v>
      </x:c>
      <x:c r="D120" s="2" t="str">
        <x:v>Pass</x:v>
      </x:c>
      <x:c r="E120" s="2" t="str">
        <x:v>Pass</x:v>
      </x:c>
      <x:c r="F120" s="7" t="str">
        <x:v>final-record-20260817</x:v>
      </x:c>
      <x:c r="G120" s="8" t="n">
        <x:v>13</x:v>
      </x:c>
      <x:c r="H120" s="8" t="n">
        <x:v>8</x:v>
      </x:c>
      <x:c r="I120" s="9" t="n">
        <x:v>233611</x:v>
      </x:c>
      <x:c r="J120" s="9" t="n">
        <x:v>323874</x:v>
      </x:c>
      <x:c r="K120" s="8" t="n">
        <x:v>15</x:v>
      </x:c>
      <x:c r="L120" s="8" t="n">
        <x:v>9</x:v>
      </x:c>
      <x:c r="M120" s="10" t="n">
        <x:v>69.23940430000039</x:v>
      </x:c>
      <x:c r="N120" s="10" t="n">
        <x:v>44.38511879999987</x:v>
      </x:c>
      <x:c r="O120" s="7" t="str"/>
      <x:c r="P120" s="7" t="str"/>
    </x:row>
    <x:row r="121">
      <x:c r="A121" s="2" t="str">
        <x:v>BV1-120</x:v>
      </x:c>
      <x:c r="B121" s="7" t="str">
        <x:v>NTL data retrieval and preprocessing</x:v>
      </x:c>
      <x:c r="C121" s="7" t="str">
        <x:v>Subset the supplied annual Wuhan nighttime-light records to 2018–2022 inclusive, then report the retained years, count, sum, and mean ANTL.</x:v>
      </x:c>
      <x:c r="D121" s="2" t="str">
        <x:v>Pass</x:v>
      </x:c>
      <x:c r="E121" s="2" t="str">
        <x:v>Pass</x:v>
      </x:c>
      <x:c r="F121" s="7" t="str">
        <x:v>final-record-20260817</x:v>
      </x:c>
      <x:c r="G121" s="8" t="n">
        <x:v>7</x:v>
      </x:c>
      <x:c r="H121" s="8" t="n">
        <x:v>7</x:v>
      </x:c>
      <x:c r="I121" s="9" t="n">
        <x:v>104817</x:v>
      </x:c>
      <x:c r="J121" s="9" t="n">
        <x:v>279472</x:v>
      </x:c>
      <x:c r="K121" s="8" t="n">
        <x:v>7</x:v>
      </x:c>
      <x:c r="L121" s="8" t="n">
        <x:v>8</x:v>
      </x:c>
      <x:c r="M121" s="10" t="n">
        <x:v>45.741640900000675</x:v>
      </x:c>
      <x:c r="N121" s="10" t="n">
        <x:v>45.96255630000087</x:v>
      </x:c>
      <x:c r="O121" s="7" t="str"/>
      <x:c r="P121" s="7" t="str"/>
    </x:row>
    <x:row r="122">
      <x:c r="A122" s="2" t="str">
        <x:v>BV1-121</x:v>
      </x:c>
      <x:c r="B122" s="7" t="str">
        <x:v>NTL data retrieval and preprocessing</x:v>
      </x:c>
      <x:c r="C122" s="7" t="str">
        <x:v>Apply the supplied gain and offset to the Shanghai nighttime-light digital numbers, clamp negative calibrated values to zero, and report the calibrated sequence and its mean.</x:v>
      </x:c>
      <x:c r="D122" s="2" t="str">
        <x:v>Pass</x:v>
      </x:c>
      <x:c r="E122" s="2" t="str">
        <x:v>Pass</x:v>
      </x:c>
      <x:c r="F122" s="7" t="str">
        <x:v>final-record-20260817</x:v>
      </x:c>
      <x:c r="G122" s="8" t="n">
        <x:v>10</x:v>
      </x:c>
      <x:c r="H122" s="8" t="n">
        <x:v>8</x:v>
      </x:c>
      <x:c r="I122" s="9" t="n">
        <x:v>169866</x:v>
      </x:c>
      <x:c r="J122" s="9" t="n">
        <x:v>329346</x:v>
      </x:c>
      <x:c r="K122" s="8" t="n">
        <x:v>13</x:v>
      </x:c>
      <x:c r="L122" s="8" t="n">
        <x:v>9</x:v>
      </x:c>
      <x:c r="M122" s="10" t="n">
        <x:v>71.92810110000028</x:v>
      </x:c>
      <x:c r="N122" s="10" t="n">
        <x:v>55.70483150000018</x:v>
      </x:c>
      <x:c r="O122" s="7" t="str"/>
      <x:c r="P122" s="7" t="str"/>
    </x:row>
    <x:row r="123">
      <x:c r="A123" s="2" t="str">
        <x:v>BV1-122</x:v>
      </x:c>
      <x:c r="B123" s="7" t="str">
        <x:v>NTL data retrieval and preprocessing</x:v>
      </x:c>
      <x:c r="C123" s="7" t="str">
        <x:v>Apply the supplied gain and offset to the Beijing nighttime-light digital numbers, clamp negative calibrated values to zero, and report the calibrated sequence and its mean.</x:v>
      </x:c>
      <x:c r="D123" s="2" t="str">
        <x:v>Pass</x:v>
      </x:c>
      <x:c r="E123" s="2" t="str">
        <x:v>Pass</x:v>
      </x:c>
      <x:c r="F123" s="7" t="str">
        <x:v>final-record-20260817</x:v>
      </x:c>
      <x:c r="G123" s="8" t="n">
        <x:v>7</x:v>
      </x:c>
      <x:c r="H123" s="8" t="n">
        <x:v>14</x:v>
      </x:c>
      <x:c r="I123" s="9" t="n">
        <x:v>108588</x:v>
      </x:c>
      <x:c r="J123" s="9" t="n">
        <x:v>607396</x:v>
      </x:c>
      <x:c r="K123" s="8" t="n">
        <x:v>7</x:v>
      </x:c>
      <x:c r="L123" s="8" t="n">
        <x:v>14</x:v>
      </x:c>
      <x:c r="M123" s="10" t="n">
        <x:v>55.75516609999977</x:v>
      </x:c>
      <x:c r="N123" s="10" t="n">
        <x:v>57.28030200000012</x:v>
      </x:c>
      <x:c r="O123" s="7" t="str"/>
      <x:c r="P123" s="7" t="str"/>
    </x:row>
    <x:row r="124">
      <x:c r="A124" s="2" t="str">
        <x:v>BV1-123</x:v>
      </x:c>
      <x:c r="B124" s="7" t="str">
        <x:v>NTL data retrieval and preprocessing</x:v>
      </x:c>
      <x:c r="C124" s="7" t="str">
        <x:v>Apply the supplied gain and offset to the Guangzhou nighttime-light digital numbers, clamp negative calibrated values to zero, and report the calibrated sequence and its mean.</x:v>
      </x:c>
      <x:c r="D124" s="2" t="str">
        <x:v>Pass</x:v>
      </x:c>
      <x:c r="E124" s="2" t="str">
        <x:v>Pass</x:v>
      </x:c>
      <x:c r="F124" s="7" t="str">
        <x:v>final-record-20260817</x:v>
      </x:c>
      <x:c r="G124" s="8" t="n">
        <x:v>12</x:v>
      </x:c>
      <x:c r="H124" s="8" t="n">
        <x:v>10</x:v>
      </x:c>
      <x:c r="I124" s="9" t="n">
        <x:v>201243</x:v>
      </x:c>
      <x:c r="J124" s="9" t="n">
        <x:v>432300</x:v>
      </x:c>
      <x:c r="K124" s="8" t="n">
        <x:v>14</x:v>
      </x:c>
      <x:c r="L124" s="8" t="n">
        <x:v>12</x:v>
      </x:c>
      <x:c r="M124" s="10" t="n">
        <x:v>63.98721850000038</x:v>
      </x:c>
      <x:c r="N124" s="10" t="n">
        <x:v>56.88962900000024</x:v>
      </x:c>
      <x:c r="O124" s="7" t="str"/>
      <x:c r="P124" s="7" t="str"/>
    </x:row>
    <x:row r="125">
      <x:c r="A125" s="2" t="str">
        <x:v>BV1-124</x:v>
      </x:c>
      <x:c r="B125" s="7" t="str">
        <x:v>NTL data retrieval and preprocessing</x:v>
      </x:c>
      <x:c r="C125" s="7" t="str">
        <x:v>Apply the supplied gain and offset to the Chengdu nighttime-light digital numbers, clamp negative calibrated values to zero, and report the calibrated sequence and its mean.</x:v>
      </x:c>
      <x:c r="D125" s="2" t="str">
        <x:v>Pass</x:v>
      </x:c>
      <x:c r="E125" s="2" t="str">
        <x:v>Pass</x:v>
      </x:c>
      <x:c r="F125" s="7" t="str">
        <x:v>final-record-20260817</x:v>
      </x:c>
      <x:c r="G125" s="8" t="n">
        <x:v>14</x:v>
      </x:c>
      <x:c r="H125" s="8" t="n">
        <x:v>7</x:v>
      </x:c>
      <x:c r="I125" s="9" t="n">
        <x:v>298290</x:v>
      </x:c>
      <x:c r="J125" s="9" t="n">
        <x:v>280878</x:v>
      </x:c>
      <x:c r="K125" s="8" t="n">
        <x:v>14</x:v>
      </x:c>
      <x:c r="L125" s="8" t="n">
        <x:v>8</x:v>
      </x:c>
      <x:c r="M125" s="10" t="n">
        <x:v>76.61950410000009</x:v>
      </x:c>
      <x:c r="N125" s="10" t="n">
        <x:v>47.55935490000047</x:v>
      </x:c>
      <x:c r="O125" s="7" t="str"/>
      <x:c r="P125" s="7" t="str"/>
    </x:row>
    <x:row r="126">
      <x:c r="A126" s="2" t="str">
        <x:v>BV1-125</x:v>
      </x:c>
      <x:c r="B126" s="7" t="str">
        <x:v>NTL data retrieval and preprocessing</x:v>
      </x:c>
      <x:c r="C126" s="7" t="str">
        <x:v>Apply the supplied gain and offset to the Wuhan nighttime-light digital numbers, clamp negative calibrated values to zero, and report the calibrated sequence and its mean.</x:v>
      </x:c>
      <x:c r="D126" s="2" t="str">
        <x:v>Pass</x:v>
      </x:c>
      <x:c r="E126" s="2" t="str">
        <x:v>Pass</x:v>
      </x:c>
      <x:c r="F126" s="7" t="str">
        <x:v>final-record-20260817</x:v>
      </x:c>
      <x:c r="G126" s="8" t="n">
        <x:v>7</x:v>
      </x:c>
      <x:c r="H126" s="8" t="n">
        <x:v>18</x:v>
      </x:c>
      <x:c r="I126" s="9" t="n">
        <x:v>106563</x:v>
      </x:c>
      <x:c r="J126" s="9" t="n">
        <x:v>808082</x:v>
      </x:c>
      <x:c r="K126" s="8" t="n">
        <x:v>7</x:v>
      </x:c>
      <x:c r="L126" s="8" t="n">
        <x:v>18</x:v>
      </x:c>
      <x:c r="M126" s="10" t="n">
        <x:v>49.676692</x:v>
      </x:c>
      <x:c r="N126" s="10" t="n">
        <x:v>63.02347270000064</x:v>
      </x:c>
      <x:c r="O126" s="7" t="str"/>
      <x:c r="P126" s="7" t="str"/>
    </x:row>
    <x:row r="127">
      <x:c r="A127" s="2" t="str">
        <x:v>BV1-126</x:v>
      </x:c>
      <x:c r="B127" s="7" t="str">
        <x:v>NTL data retrieval and preprocessing</x:v>
      </x:c>
      <x:c r="C127" s="7" t="str">
        <x:v>For the supplied Shanghai RGB pixel table, calculate the normalized red–blue contrast (red − blue) / (red + blue) for every pixel and report the mean valid index.</x:v>
      </x:c>
      <x:c r="D127" s="2" t="str">
        <x:v>Pass</x:v>
      </x:c>
      <x:c r="E127" s="2" t="str">
        <x:v>Pass</x:v>
      </x:c>
      <x:c r="F127" s="7" t="str">
        <x:v>final-record-20260817</x:v>
      </x:c>
      <x:c r="G127" s="8" t="n">
        <x:v>17</x:v>
      </x:c>
      <x:c r="H127" s="8" t="n">
        <x:v>6</x:v>
      </x:c>
      <x:c r="I127" s="9" t="n">
        <x:v>431929</x:v>
      </x:c>
      <x:c r="J127" s="9" t="n">
        <x:v>243441</x:v>
      </x:c>
      <x:c r="K127" s="8" t="n">
        <x:v>18</x:v>
      </x:c>
      <x:c r="L127" s="8" t="n">
        <x:v>7</x:v>
      </x:c>
      <x:c r="M127" s="10" t="n">
        <x:v>86.50014659999943</x:v>
      </x:c>
      <x:c r="N127" s="10" t="n">
        <x:v>53.27012399999967</x:v>
      </x:c>
      <x:c r="O127" s="7" t="str"/>
      <x:c r="P127" s="7" t="str"/>
    </x:row>
    <x:row r="128">
      <x:c r="A128" s="2" t="str">
        <x:v>BV1-127</x:v>
      </x:c>
      <x:c r="B128" s="7" t="str">
        <x:v>NTL data retrieval and preprocessing</x:v>
      </x:c>
      <x:c r="C128" s="7" t="str">
        <x:v>For the supplied Beijing RGB pixel table, calculate the normalized red–blue contrast (red − blue) / (red + blue) for every pixel and report the mean valid index.</x:v>
      </x:c>
      <x:c r="D128" s="2" t="str">
        <x:v>Pass</x:v>
      </x:c>
      <x:c r="E128" s="2" t="str">
        <x:v>Pass</x:v>
      </x:c>
      <x:c r="F128" s="7" t="str">
        <x:v>final-record-20260817</x:v>
      </x:c>
      <x:c r="G128" s="8" t="n">
        <x:v>13</x:v>
      </x:c>
      <x:c r="H128" s="8" t="n">
        <x:v>7</x:v>
      </x:c>
      <x:c r="I128" s="9" t="n">
        <x:v>248630</x:v>
      </x:c>
      <x:c r="J128" s="9" t="n">
        <x:v>288390</x:v>
      </x:c>
      <x:c r="K128" s="8" t="n">
        <x:v>15</x:v>
      </x:c>
      <x:c r="L128" s="8" t="n">
        <x:v>9</x:v>
      </x:c>
      <x:c r="M128" s="10" t="n">
        <x:v>75.89544589999969</x:v>
      </x:c>
      <x:c r="N128" s="10" t="n">
        <x:v>58.57263190000049</x:v>
      </x:c>
      <x:c r="O128" s="7" t="str"/>
      <x:c r="P128" s="7" t="str"/>
    </x:row>
    <x:row r="129">
      <x:c r="A129" s="2" t="str">
        <x:v>BV1-128</x:v>
      </x:c>
      <x:c r="B129" s="7" t="str">
        <x:v>NTL data retrieval and preprocessing</x:v>
      </x:c>
      <x:c r="C129" s="7" t="str">
        <x:v>For the supplied Guangzhou RGB pixel table, calculate the normalized red–blue contrast (red − blue) / (red + blue) for every pixel and report the mean valid index.</x:v>
      </x:c>
      <x:c r="D129" s="2" t="str">
        <x:v>Pass</x:v>
      </x:c>
      <x:c r="E129" s="2" t="str">
        <x:v>Pass</x:v>
      </x:c>
      <x:c r="F129" s="7" t="str">
        <x:v>final-record-20260817</x:v>
      </x:c>
      <x:c r="G129" s="8" t="n">
        <x:v>12</x:v>
      </x:c>
      <x:c r="H129" s="8" t="n">
        <x:v>7</x:v>
      </x:c>
      <x:c r="I129" s="9" t="n">
        <x:v>251416</x:v>
      </x:c>
      <x:c r="J129" s="9" t="n">
        <x:v>287129</x:v>
      </x:c>
      <x:c r="K129" s="8" t="n">
        <x:v>13</x:v>
      </x:c>
      <x:c r="L129" s="8" t="n">
        <x:v>8</x:v>
      </x:c>
      <x:c r="M129" s="10" t="n">
        <x:v>76.0391252999998</x:v>
      </x:c>
      <x:c r="N129" s="10" t="n">
        <x:v>52.91791900000044</x:v>
      </x:c>
      <x:c r="O129" s="7" t="str"/>
      <x:c r="P129" s="7" t="str"/>
    </x:row>
    <x:row r="130">
      <x:c r="A130" s="2" t="str">
        <x:v>BV1-129</x:v>
      </x:c>
      <x:c r="B130" s="7" t="str">
        <x:v>NTL data retrieval and preprocessing</x:v>
      </x:c>
      <x:c r="C130" s="7" t="str">
        <x:v>For the supplied Chengdu RGB pixel table, calculate the normalized red–blue contrast (red − blue) / (red + blue) for every pixel and report the mean valid index.</x:v>
      </x:c>
      <x:c r="D130" s="2" t="str">
        <x:v>Pass</x:v>
      </x:c>
      <x:c r="E130" s="2" t="str">
        <x:v>Pass</x:v>
      </x:c>
      <x:c r="F130" s="7" t="str">
        <x:v>final-record-20260817</x:v>
      </x:c>
      <x:c r="G130" s="8" t="n">
        <x:v>7</x:v>
      </x:c>
      <x:c r="H130" s="8" t="n">
        <x:v>15</x:v>
      </x:c>
      <x:c r="I130" s="9" t="n">
        <x:v>109259</x:v>
      </x:c>
      <x:c r="J130" s="9" t="n">
        <x:v>732556</x:v>
      </x:c>
      <x:c r="K130" s="8" t="n">
        <x:v>7</x:v>
      </x:c>
      <x:c r="L130" s="8" t="n">
        <x:v>17</x:v>
      </x:c>
      <x:c r="M130" s="10" t="n">
        <x:v>50.50547819999974</x:v>
      </x:c>
      <x:c r="N130" s="10" t="n">
        <x:v>174.13410169999952</x:v>
      </x:c>
      <x:c r="O130" s="7" t="str"/>
      <x:c r="P130" s="7" t="str"/>
    </x:row>
    <x:row r="131">
      <x:c r="A131" s="2" t="str">
        <x:v>BV1-130</x:v>
      </x:c>
      <x:c r="B131" s="7" t="str">
        <x:v>NTL data retrieval and preprocessing</x:v>
      </x:c>
      <x:c r="C131" s="7" t="str">
        <x:v>For the supplied Wuhan RGB pixel table, calculate the normalized red–blue contrast (red − blue) / (red + blue) for every pixel and report the mean valid index.</x:v>
      </x:c>
      <x:c r="D131" s="2" t="str">
        <x:v>Pass</x:v>
      </x:c>
      <x:c r="E131" s="2" t="str">
        <x:v>Pass</x:v>
      </x:c>
      <x:c r="F131" s="7" t="str">
        <x:v>final-record-20260817</x:v>
      </x:c>
      <x:c r="G131" s="8" t="n">
        <x:v>7</x:v>
      </x:c>
      <x:c r="H131" s="8" t="n">
        <x:v>8</x:v>
      </x:c>
      <x:c r="I131" s="9" t="n">
        <x:v>108586</x:v>
      </x:c>
      <x:c r="J131" s="9" t="n">
        <x:v>332167</x:v>
      </x:c>
      <x:c r="K131" s="8" t="n">
        <x:v>7</x:v>
      </x:c>
      <x:c r="L131" s="8" t="n">
        <x:v>9</x:v>
      </x:c>
      <x:c r="M131" s="10" t="n">
        <x:v>50.28100319999976</x:v>
      </x:c>
      <x:c r="N131" s="10" t="n">
        <x:v>63.198761900000136</x:v>
      </x:c>
      <x:c r="O131" s="7" t="str"/>
      <x:c r="P131" s="7" t="str"/>
    </x:row>
    <x:row r="132">
      <x:c r="A132" s="2" t="str">
        <x:v>BV1-131</x:v>
      </x:c>
      <x:c r="B132" s="7" t="str">
        <x:v>NTL data retrieval and preprocessing</x:v>
      </x:c>
      <x:c r="C132" s="7" t="str">
        <x:v>Screen the supplied Shanghai nighttime-light observations using the stated mandatory-quality, cloud, and snow rule, then report retained IDs, rejected IDs, and mean valid radiance.</x:v>
      </x:c>
      <x:c r="D132" s="2" t="str">
        <x:v>Pass</x:v>
      </x:c>
      <x:c r="E132" s="2" t="str">
        <x:v>Pass</x:v>
      </x:c>
      <x:c r="F132" s="7" t="str">
        <x:v>final-record-20260817</x:v>
      </x:c>
      <x:c r="G132" s="8" t="n">
        <x:v>16</x:v>
      </x:c>
      <x:c r="H132" s="8" t="n">
        <x:v>8</x:v>
      </x:c>
      <x:c r="I132" s="9" t="n">
        <x:v>320403</x:v>
      </x:c>
      <x:c r="J132" s="9" t="n">
        <x:v>335395</x:v>
      </x:c>
      <x:c r="K132" s="8" t="n">
        <x:v>18</x:v>
      </x:c>
      <x:c r="L132" s="8" t="n">
        <x:v>11</x:v>
      </x:c>
      <x:c r="M132" s="10" t="n">
        <x:v>85.32204959999945</x:v>
      </x:c>
      <x:c r="N132" s="10" t="n">
        <x:v>52.055182799999784</x:v>
      </x:c>
      <x:c r="O132" s="7" t="str"/>
      <x:c r="P132" s="7" t="str"/>
    </x:row>
    <x:row r="133">
      <x:c r="A133" s="2" t="str">
        <x:v>BV1-132</x:v>
      </x:c>
      <x:c r="B133" s="7" t="str">
        <x:v>NTL data retrieval and preprocessing</x:v>
      </x:c>
      <x:c r="C133" s="7" t="str">
        <x:v>Screen the supplied Beijing nighttime-light observations using the stated mandatory-quality, cloud, and snow rule, then report retained IDs, rejected IDs, and mean valid radiance.</x:v>
      </x:c>
      <x:c r="D133" s="2" t="str">
        <x:v>Pass</x:v>
      </x:c>
      <x:c r="E133" s="2" t="str">
        <x:v>Pass</x:v>
      </x:c>
      <x:c r="F133" s="7" t="str">
        <x:v>final-record-20260817</x:v>
      </x:c>
      <x:c r="G133" s="8" t="n">
        <x:v>8</x:v>
      </x:c>
      <x:c r="H133" s="8" t="n">
        <x:v>7</x:v>
      </x:c>
      <x:c r="I133" s="9" t="n">
        <x:v>142268</x:v>
      </x:c>
      <x:c r="J133" s="9" t="n">
        <x:v>283439</x:v>
      </x:c>
      <x:c r="K133" s="8" t="n">
        <x:v>8</x:v>
      </x:c>
      <x:c r="L133" s="8" t="n">
        <x:v>8</x:v>
      </x:c>
      <x:c r="M133" s="10" t="n">
        <x:v>72.24882759999946</x:v>
      </x:c>
      <x:c r="N133" s="10" t="n">
        <x:v>42.18549890000031</x:v>
      </x:c>
      <x:c r="O133" s="7" t="str"/>
      <x:c r="P133" s="7" t="str"/>
    </x:row>
    <x:row r="134">
      <x:c r="A134" s="2" t="str">
        <x:v>BV1-133</x:v>
      </x:c>
      <x:c r="B134" s="7" t="str">
        <x:v>NTL data retrieval and preprocessing</x:v>
      </x:c>
      <x:c r="C134" s="7" t="str">
        <x:v>Screen the supplied Guangzhou nighttime-light observations using the stated mandatory-quality, cloud, and snow rule, then report retained IDs, rejected IDs, and mean valid radiance.</x:v>
      </x:c>
      <x:c r="D134" s="2" t="str">
        <x:v>Pass</x:v>
      </x:c>
      <x:c r="E134" s="2" t="str">
        <x:v>Pass</x:v>
      </x:c>
      <x:c r="F134" s="7" t="str">
        <x:v>final-record-20260817</x:v>
      </x:c>
      <x:c r="G134" s="8" t="n">
        <x:v>10</x:v>
      </x:c>
      <x:c r="H134" s="8" t="n">
        <x:v>8</x:v>
      </x:c>
      <x:c r="I134" s="9" t="n">
        <x:v>181803</x:v>
      </x:c>
      <x:c r="J134" s="9" t="n">
        <x:v>335950</x:v>
      </x:c>
      <x:c r="K134" s="8" t="n">
        <x:v>15</x:v>
      </x:c>
      <x:c r="L134" s="8" t="n">
        <x:v>9</x:v>
      </x:c>
      <x:c r="M134" s="10" t="n">
        <x:v>71.66342509999959</x:v>
      </x:c>
      <x:c r="N134" s="10" t="n">
        <x:v>60.44209150000006</x:v>
      </x:c>
      <x:c r="O134" s="7" t="str"/>
      <x:c r="P134" s="7" t="str"/>
    </x:row>
    <x:row r="135">
      <x:c r="A135" s="2" t="str">
        <x:v>BV1-134</x:v>
      </x:c>
      <x:c r="B135" s="7" t="str">
        <x:v>NTL data retrieval and preprocessing</x:v>
      </x:c>
      <x:c r="C135" s="7" t="str">
        <x:v>Screen the supplied Chengdu nighttime-light observations using the stated mandatory-quality, cloud, and snow rule, then report retained IDs, rejected IDs, and mean valid radiance.</x:v>
      </x:c>
      <x:c r="D135" s="2" t="str">
        <x:v>Pass</x:v>
      </x:c>
      <x:c r="E135" s="2" t="str">
        <x:v>Pass</x:v>
      </x:c>
      <x:c r="F135" s="7" t="str">
        <x:v>final-record-20260817</x:v>
      </x:c>
      <x:c r="G135" s="8" t="n">
        <x:v>9</x:v>
      </x:c>
      <x:c r="H135" s="8" t="n">
        <x:v>7</x:v>
      </x:c>
      <x:c r="I135" s="9" t="n">
        <x:v>166118</x:v>
      </x:c>
      <x:c r="J135" s="9" t="n">
        <x:v>290384</x:v>
      </x:c>
      <x:c r="K135" s="8" t="n">
        <x:v>9</x:v>
      </x:c>
      <x:c r="L135" s="8" t="n">
        <x:v>9</x:v>
      </x:c>
      <x:c r="M135" s="10" t="n">
        <x:v>55.22369299999991</x:v>
      </x:c>
      <x:c r="N135" s="10" t="n">
        <x:v>48.88642609999988</x:v>
      </x:c>
      <x:c r="O135" s="7" t="str"/>
      <x:c r="P135" s="7" t="str"/>
    </x:row>
    <x:row r="136">
      <x:c r="A136" s="2" t="str">
        <x:v>BV1-135</x:v>
      </x:c>
      <x:c r="B136" s="7" t="str">
        <x:v>NTL data retrieval and preprocessing</x:v>
      </x:c>
      <x:c r="C136" s="7" t="str">
        <x:v>Screen the supplied Wuhan nighttime-light observations using the stated mandatory-quality, cloud, and snow rule, then report retained IDs, rejected IDs, and mean valid radiance.</x:v>
      </x:c>
      <x:c r="D136" s="2" t="str">
        <x:v>Pass</x:v>
      </x:c>
      <x:c r="E136" s="2" t="str">
        <x:v>Pass</x:v>
      </x:c>
      <x:c r="F136" s="7" t="str">
        <x:v>final-record-20260817</x:v>
      </x:c>
      <x:c r="G136" s="8" t="n">
        <x:v>12</x:v>
      </x:c>
      <x:c r="H136" s="8" t="n">
        <x:v>7</x:v>
      </x:c>
      <x:c r="I136" s="9" t="n">
        <x:v>229784</x:v>
      </x:c>
      <x:c r="J136" s="9" t="n">
        <x:v>291910</x:v>
      </x:c>
      <x:c r="K136" s="8" t="n">
        <x:v>16</x:v>
      </x:c>
      <x:c r="L136" s="8" t="n">
        <x:v>11</x:v>
      </x:c>
      <x:c r="M136" s="10" t="n">
        <x:v>70.8109430000004</x:v>
      </x:c>
      <x:c r="N136" s="10" t="n">
        <x:v>49.790650599999935</x:v>
      </x:c>
      <x:c r="O136" s="7" t="str"/>
      <x:c r="P136" s="7" t="str"/>
    </x:row>
    <x:row r="137">
      <x:c r="A137" s="2" t="str">
        <x:v>BV1-136</x:v>
      </x:c>
      <x:c r="B137" s="7" t="str">
        <x:v>NTL data retrieval and preprocessing</x:v>
      </x:c>
      <x:c r="C137" s="7" t="str">
        <x:v>Compare the supplied target and candidate raster-grid metadata for Shanghai; report whether they are aligned, list every mismatch, and state the required alignment action.</x:v>
      </x:c>
      <x:c r="D137" s="2" t="str">
        <x:v>Pass</x:v>
      </x:c>
      <x:c r="E137" s="2" t="str">
        <x:v>Pass</x:v>
      </x:c>
      <x:c r="F137" s="7" t="str">
        <x:v>final-record-20260817</x:v>
      </x:c>
      <x:c r="G137" s="8" t="n">
        <x:v>12</x:v>
      </x:c>
      <x:c r="H137" s="8" t="n">
        <x:v>9</x:v>
      </x:c>
      <x:c r="I137" s="9" t="n">
        <x:v>253032</x:v>
      </x:c>
      <x:c r="J137" s="9" t="n">
        <x:v>377457</x:v>
      </x:c>
      <x:c r="K137" s="8" t="n">
        <x:v>13</x:v>
      </x:c>
      <x:c r="L137" s="8" t="n">
        <x:v>11</x:v>
      </x:c>
      <x:c r="M137" s="10" t="n">
        <x:v>93.13294049999968</x:v>
      </x:c>
      <x:c r="N137" s="10" t="n">
        <x:v>63.34415069999977</x:v>
      </x:c>
      <x:c r="O137" s="7" t="str"/>
      <x:c r="P137" s="7" t="str"/>
    </x:row>
    <x:row r="138">
      <x:c r="A138" s="2" t="str">
        <x:v>BV1-137</x:v>
      </x:c>
      <x:c r="B138" s="7" t="str">
        <x:v>NTL data retrieval and preprocessing</x:v>
      </x:c>
      <x:c r="C138" s="7" t="str">
        <x:v>Compare the supplied target and candidate raster-grid metadata for Beijing; report whether they are aligned, list every mismatch, and state the required alignment action.</x:v>
      </x:c>
      <x:c r="D138" s="2" t="str">
        <x:v>Pass</x:v>
      </x:c>
      <x:c r="E138" s="2" t="str">
        <x:v>Pass</x:v>
      </x:c>
      <x:c r="F138" s="7" t="str">
        <x:v>final-record-20260817</x:v>
      </x:c>
      <x:c r="G138" s="8" t="n">
        <x:v>15</x:v>
      </x:c>
      <x:c r="H138" s="8" t="n">
        <x:v>3</x:v>
      </x:c>
      <x:c r="I138" s="9" t="n">
        <x:v>340601</x:v>
      </x:c>
      <x:c r="J138" s="9" t="n">
        <x:v>113278</x:v>
      </x:c>
      <x:c r="K138" s="8" t="n">
        <x:v>15</x:v>
      </x:c>
      <x:c r="L138" s="8" t="n">
        <x:v>3</x:v>
      </x:c>
      <x:c r="M138" s="10" t="n">
        <x:v>80.34949079999933</x:v>
      </x:c>
      <x:c r="N138" s="10" t="n">
        <x:v>40.726218900000276</x:v>
      </x:c>
      <x:c r="O138" s="7" t="str"/>
      <x:c r="P138" s="7" t="str"/>
    </x:row>
    <x:row r="139">
      <x:c r="A139" s="2" t="str">
        <x:v>BV1-138</x:v>
      </x:c>
      <x:c r="B139" s="7" t="str">
        <x:v>NTL data retrieval and preprocessing</x:v>
      </x:c>
      <x:c r="C139" s="7" t="str">
        <x:v>Compare the supplied target and candidate raster-grid metadata for Guangzhou; report whether they are aligned, list every mismatch, and state the required alignment action.</x:v>
      </x:c>
      <x:c r="D139" s="2" t="str">
        <x:v>Pass</x:v>
      </x:c>
      <x:c r="E139" s="2" t="str">
        <x:v>Pass</x:v>
      </x:c>
      <x:c r="F139" s="7" t="str">
        <x:v>final-record-20260817</x:v>
      </x:c>
      <x:c r="G139" s="8" t="n">
        <x:v>11</x:v>
      </x:c>
      <x:c r="H139" s="8" t="n">
        <x:v>11</x:v>
      </x:c>
      <x:c r="I139" s="9" t="n">
        <x:v>219619</x:v>
      </x:c>
      <x:c r="J139" s="9" t="n">
        <x:v>475646</x:v>
      </x:c>
      <x:c r="K139" s="8" t="n">
        <x:v>15</x:v>
      </x:c>
      <x:c r="L139" s="8" t="n">
        <x:v>14</x:v>
      </x:c>
      <x:c r="M139" s="10" t="n">
        <x:v>68.44332849999955</x:v>
      </x:c>
      <x:c r="N139" s="10" t="n">
        <x:v>97.46877779999977</x:v>
      </x:c>
      <x:c r="O139" s="7" t="str"/>
      <x:c r="P139" s="7" t="str"/>
    </x:row>
    <x:row r="140">
      <x:c r="A140" s="2" t="str">
        <x:v>BV1-139</x:v>
      </x:c>
      <x:c r="B140" s="7" t="str">
        <x:v>NTL data retrieval and preprocessing</x:v>
      </x:c>
      <x:c r="C140" s="7" t="str">
        <x:v>Compare the supplied target and candidate raster-grid metadata for Chengdu; report whether they are aligned, list every mismatch, and state the required alignment action.</x:v>
      </x:c>
      <x:c r="D140" s="2" t="str">
        <x:v>Pass</x:v>
      </x:c>
      <x:c r="E140" s="2" t="str">
        <x:v>Pass</x:v>
      </x:c>
      <x:c r="F140" s="7" t="str">
        <x:v>final-record-20260817</x:v>
      </x:c>
      <x:c r="G140" s="8" t="n">
        <x:v>14</x:v>
      </x:c>
      <x:c r="H140" s="8" t="n">
        <x:v>11</x:v>
      </x:c>
      <x:c r="I140" s="9" t="n">
        <x:v>366865</x:v>
      </x:c>
      <x:c r="J140" s="9" t="n">
        <x:v>480474</x:v>
      </x:c>
      <x:c r="K140" s="8" t="n">
        <x:v>18</x:v>
      </x:c>
      <x:c r="L140" s="8" t="n">
        <x:v>13</x:v>
      </x:c>
      <x:c r="M140" s="10" t="n">
        <x:v>107.0870103999996</x:v>
      </x:c>
      <x:c r="N140" s="10" t="n">
        <x:v>94.1435220000003</x:v>
      </x:c>
      <x:c r="O140" s="7" t="str"/>
      <x:c r="P140" s="7" t="str"/>
    </x:row>
    <x:row r="141">
      <x:c r="A141" s="2" t="str">
        <x:v>BV1-140</x:v>
      </x:c>
      <x:c r="B141" s="7" t="str">
        <x:v>NTL data retrieval and preprocessing</x:v>
      </x:c>
      <x:c r="C141" s="7" t="str">
        <x:v>Compare the supplied target and candidate raster-grid metadata for Wuhan; report whether they are aligned, list every mismatch, and state the required alignment action.</x:v>
      </x:c>
      <x:c r="D141" s="2" t="str">
        <x:v>Pass</x:v>
      </x:c>
      <x:c r="E141" s="2" t="str">
        <x:v>Pass</x:v>
      </x:c>
      <x:c r="F141" s="7" t="str">
        <x:v>final-record-20260817</x:v>
      </x:c>
      <x:c r="G141" s="8" t="n">
        <x:v>10</x:v>
      </x:c>
      <x:c r="H141" s="8" t="n">
        <x:v>13</x:v>
      </x:c>
      <x:c r="I141" s="9" t="n">
        <x:v>190935</x:v>
      </x:c>
      <x:c r="J141" s="9" t="n">
        <x:v>592930</x:v>
      </x:c>
      <x:c r="K141" s="8" t="n">
        <x:v>12</x:v>
      </x:c>
      <x:c r="L141" s="8" t="n">
        <x:v>13</x:v>
      </x:c>
      <x:c r="M141" s="10" t="n">
        <x:v>71.19090599999981</x:v>
      </x:c>
      <x:c r="N141" s="10" t="n">
        <x:v>105.13792319999993</x:v>
      </x:c>
      <x:c r="O141" s="7" t="str"/>
      <x:c r="P141" s="7" t="str"/>
    </x:row>
    <x:row r="142">
      <x:c r="A142" s="2" t="str">
        <x:v>BV1-141</x:v>
      </x:c>
      <x:c r="B142" s="7" t="str">
        <x:v>NTL spatiotemporal analysis and querying</x:v>
      </x:c>
      <x:c r="C142" s="7" t="str">
        <x:v>For each supplied zone in Shanghai, ignore missing values and report valid count, ANTL, and TNTL.</x:v>
      </x:c>
      <x:c r="D142" s="2" t="str">
        <x:v>Pass</x:v>
      </x:c>
      <x:c r="E142" s="2" t="str">
        <x:v>Pass</x:v>
      </x:c>
      <x:c r="F142" s="7" t="str">
        <x:v>final-record-20260817</x:v>
      </x:c>
      <x:c r="G142" s="8" t="n">
        <x:v>13</x:v>
      </x:c>
      <x:c r="H142" s="8" t="n">
        <x:v>8</x:v>
      </x:c>
      <x:c r="I142" s="9" t="n">
        <x:v>275194</x:v>
      </x:c>
      <x:c r="J142" s="9" t="n">
        <x:v>325812</x:v>
      </x:c>
      <x:c r="K142" s="8" t="n">
        <x:v>13</x:v>
      </x:c>
      <x:c r="L142" s="8" t="n">
        <x:v>11</x:v>
      </x:c>
      <x:c r="M142" s="10" t="n">
        <x:v>79.57673150000028</x:v>
      </x:c>
      <x:c r="N142" s="10" t="n">
        <x:v>49.07457859999977</x:v>
      </x:c>
      <x:c r="O142" s="7" t="str"/>
      <x:c r="P142" s="7" t="str"/>
    </x:row>
    <x:row r="143">
      <x:c r="A143" s="2" t="str">
        <x:v>BV1-142</x:v>
      </x:c>
      <x:c r="B143" s="7" t="str">
        <x:v>NTL spatiotemporal analysis and querying</x:v>
      </x:c>
      <x:c r="C143" s="7" t="str">
        <x:v>For each supplied zone in Beijing, ignore missing values and report valid count, ANTL, and TNTL.</x:v>
      </x:c>
      <x:c r="D143" s="2" t="str">
        <x:v>Pass</x:v>
      </x:c>
      <x:c r="E143" s="2" t="str">
        <x:v>Pass</x:v>
      </x:c>
      <x:c r="F143" s="7" t="str">
        <x:v>final-record-20260817</x:v>
      </x:c>
      <x:c r="G143" s="8" t="n">
        <x:v>12</x:v>
      </x:c>
      <x:c r="H143" s="8" t="n">
        <x:v>12</x:v>
      </x:c>
      <x:c r="I143" s="9" t="n">
        <x:v>216704</x:v>
      </x:c>
      <x:c r="J143" s="9" t="n">
        <x:v>549446</x:v>
      </x:c>
      <x:c r="K143" s="8" t="n">
        <x:v>13</x:v>
      </x:c>
      <x:c r="L143" s="8" t="n">
        <x:v>15</x:v>
      </x:c>
      <x:c r="M143" s="10" t="n">
        <x:v>90.48472570000013</x:v>
      </x:c>
      <x:c r="N143" s="10" t="n">
        <x:v>138.60805590000018</x:v>
      </x:c>
      <x:c r="O143" s="7" t="str"/>
      <x:c r="P143" s="7" t="str"/>
    </x:row>
    <x:row r="144">
      <x:c r="A144" s="2" t="str">
        <x:v>BV1-143</x:v>
      </x:c>
      <x:c r="B144" s="7" t="str">
        <x:v>NTL spatiotemporal analysis and querying</x:v>
      </x:c>
      <x:c r="C144" s="7" t="str">
        <x:v>For each supplied zone in Guangzhou, ignore missing values and report valid count, ANTL, and TNTL.</x:v>
      </x:c>
      <x:c r="D144" s="2" t="str">
        <x:v>Pass</x:v>
      </x:c>
      <x:c r="E144" s="2" t="str">
        <x:v>Pass</x:v>
      </x:c>
      <x:c r="F144" s="7" t="str">
        <x:v>final-record-20260817</x:v>
      </x:c>
      <x:c r="G144" s="8" t="n">
        <x:v>11</x:v>
      </x:c>
      <x:c r="H144" s="8" t="n">
        <x:v>8</x:v>
      </x:c>
      <x:c r="I144" s="9" t="n">
        <x:v>191104</x:v>
      </x:c>
      <x:c r="J144" s="9" t="n">
        <x:v>324554</x:v>
      </x:c>
      <x:c r="K144" s="8" t="n">
        <x:v>14</x:v>
      </x:c>
      <x:c r="L144" s="8" t="n">
        <x:v>9</x:v>
      </x:c>
      <x:c r="M144" s="10" t="n">
        <x:v>72.31904910000048</x:v>
      </x:c>
      <x:c r="N144" s="10" t="n">
        <x:v>46.08112820000042</x:v>
      </x:c>
      <x:c r="O144" s="7" t="str"/>
      <x:c r="P144" s="7" t="str"/>
    </x:row>
    <x:row r="145">
      <x:c r="A145" s="2" t="str">
        <x:v>BV1-144</x:v>
      </x:c>
      <x:c r="B145" s="7" t="str">
        <x:v>NTL spatiotemporal analysis and querying</x:v>
      </x:c>
      <x:c r="C145" s="7" t="str">
        <x:v>For each supplied zone in Chengdu, ignore missing values and report valid count, ANTL, and TNTL.</x:v>
      </x:c>
      <x:c r="D145" s="2" t="str">
        <x:v>Pass</x:v>
      </x:c>
      <x:c r="E145" s="2" t="str">
        <x:v>Pass</x:v>
      </x:c>
      <x:c r="F145" s="7" t="str">
        <x:v>final-record-20260817</x:v>
      </x:c>
      <x:c r="G145" s="8" t="n">
        <x:v>16</x:v>
      </x:c>
      <x:c r="H145" s="8" t="n">
        <x:v>12</x:v>
      </x:c>
      <x:c r="I145" s="9" t="n">
        <x:v>311162</x:v>
      </x:c>
      <x:c r="J145" s="9" t="n">
        <x:v>567511</x:v>
      </x:c>
      <x:c r="K145" s="8" t="n">
        <x:v>20</x:v>
      </x:c>
      <x:c r="L145" s="8" t="n">
        <x:v>13</x:v>
      </x:c>
      <x:c r="M145" s="10" t="n">
        <x:v>83.11740559999998</x:v>
      </x:c>
      <x:c r="N145" s="10" t="n">
        <x:v>162.76207769999928</x:v>
      </x:c>
      <x:c r="O145" s="7" t="str"/>
      <x:c r="P145" s="7" t="str"/>
    </x:row>
    <x:row r="146">
      <x:c r="A146" s="2" t="str">
        <x:v>BV1-145</x:v>
      </x:c>
      <x:c r="B146" s="7" t="str">
        <x:v>NTL spatiotemporal analysis and querying</x:v>
      </x:c>
      <x:c r="C146" s="7" t="str">
        <x:v>For each supplied zone in Wuhan, ignore missing values and report valid count, ANTL, and TNTL.</x:v>
      </x:c>
      <x:c r="D146" s="2" t="str">
        <x:v>Pass</x:v>
      </x:c>
      <x:c r="E146" s="2" t="str">
        <x:v>Pass</x:v>
      </x:c>
      <x:c r="F146" s="7" t="str">
        <x:v>final-record-20260817</x:v>
      </x:c>
      <x:c r="G146" s="8" t="n">
        <x:v>7</x:v>
      </x:c>
      <x:c r="H146" s="8" t="n">
        <x:v>8</x:v>
      </x:c>
      <x:c r="I146" s="9" t="n">
        <x:v>113550</x:v>
      </x:c>
      <x:c r="J146" s="9" t="n">
        <x:v>325950</x:v>
      </x:c>
      <x:c r="K146" s="8" t="n">
        <x:v>7</x:v>
      </x:c>
      <x:c r="L146" s="8" t="n">
        <x:v>10</x:v>
      </x:c>
      <x:c r="M146" s="10" t="n">
        <x:v>64.71563820000028</x:v>
      </x:c>
      <x:c r="N146" s="10" t="n">
        <x:v>50.4560575000005</x:v>
      </x:c>
      <x:c r="O146" s="7" t="str"/>
      <x:c r="P146" s="7" t="str"/>
    </x:row>
    <x:row r="147">
      <x:c r="A147" s="2" t="str">
        <x:v>BV1-146</x:v>
      </x:c>
      <x:c r="B147" s="7" t="str">
        <x:v>NTL spatiotemporal analysis and querying</x:v>
      </x:c>
      <x:c r="C147" s="7" t="str">
        <x:v>For the supplied Shanghai radiance values, exclude missing observations and calculate the share greater than or equal to the stated threshold.</x:v>
      </x:c>
      <x:c r="D147" s="2" t="str">
        <x:v>Pass</x:v>
      </x:c>
      <x:c r="E147" s="2" t="str">
        <x:v>Pass</x:v>
      </x:c>
      <x:c r="F147" s="7" t="str">
        <x:v>final-record-20260817</x:v>
      </x:c>
      <x:c r="G147" s="8" t="n">
        <x:v>11</x:v>
      </x:c>
      <x:c r="H147" s="8" t="n">
        <x:v>7</x:v>
      </x:c>
      <x:c r="I147" s="9" t="n">
        <x:v>168725</x:v>
      </x:c>
      <x:c r="J147" s="9" t="n">
        <x:v>280178</x:v>
      </x:c>
      <x:c r="K147" s="8" t="n">
        <x:v>12</x:v>
      </x:c>
      <x:c r="L147" s="8" t="n">
        <x:v>7</x:v>
      </x:c>
      <x:c r="M147" s="10" t="n">
        <x:v>57.50544669999999</x:v>
      </x:c>
      <x:c r="N147" s="10" t="n">
        <x:v>48.353592200000094</x:v>
      </x:c>
      <x:c r="O147" s="7" t="str"/>
      <x:c r="P147" s="7" t="str"/>
    </x:row>
    <x:row r="148">
      <x:c r="A148" s="2" t="str">
        <x:v>BV1-147</x:v>
      </x:c>
      <x:c r="B148" s="7" t="str">
        <x:v>NTL spatiotemporal analysis and querying</x:v>
      </x:c>
      <x:c r="C148" s="7" t="str">
        <x:v>For the supplied Beijing radiance values, exclude missing observations and calculate the share greater than or equal to the stated threshold.</x:v>
      </x:c>
      <x:c r="D148" s="2" t="str">
        <x:v>Pass</x:v>
      </x:c>
      <x:c r="E148" s="2" t="str">
        <x:v>Pass</x:v>
      </x:c>
      <x:c r="F148" s="7" t="str">
        <x:v>final-record-20260817</x:v>
      </x:c>
      <x:c r="G148" s="8" t="n">
        <x:v>10</x:v>
      </x:c>
      <x:c r="H148" s="8" t="n">
        <x:v>10</x:v>
      </x:c>
      <x:c r="I148" s="9" t="n">
        <x:v>156041</x:v>
      </x:c>
      <x:c r="J148" s="9" t="n">
        <x:v>426640</x:v>
      </x:c>
      <x:c r="K148" s="8" t="n">
        <x:v>11</x:v>
      </x:c>
      <x:c r="L148" s="8" t="n">
        <x:v>13</x:v>
      </x:c>
      <x:c r="M148" s="10" t="n">
        <x:v>58.36581960000058</x:v>
      </x:c>
      <x:c r="N148" s="10" t="n">
        <x:v>67.66239289999976</x:v>
      </x:c>
      <x:c r="O148" s="7" t="str"/>
      <x:c r="P148" s="7" t="str"/>
    </x:row>
    <x:row r="149">
      <x:c r="A149" s="2" t="str">
        <x:v>BV1-148</x:v>
      </x:c>
      <x:c r="B149" s="7" t="str">
        <x:v>NTL spatiotemporal analysis and querying</x:v>
      </x:c>
      <x:c r="C149" s="7" t="str">
        <x:v>For the supplied Guangzhou radiance values, exclude missing observations and calculate the share greater than or equal to the stated threshold.</x:v>
      </x:c>
      <x:c r="D149" s="2" t="str">
        <x:v>Pass</x:v>
      </x:c>
      <x:c r="E149" s="2" t="str">
        <x:v>Pass</x:v>
      </x:c>
      <x:c r="F149" s="7" t="str">
        <x:v>final-record-20260817</x:v>
      </x:c>
      <x:c r="G149" s="8" t="n">
        <x:v>9</x:v>
      </x:c>
      <x:c r="H149" s="8" t="n">
        <x:v>7</x:v>
      </x:c>
      <x:c r="I149" s="9" t="n">
        <x:v>150465</x:v>
      </x:c>
      <x:c r="J149" s="9" t="n">
        <x:v>274455</x:v>
      </x:c>
      <x:c r="K149" s="8" t="n">
        <x:v>10</x:v>
      </x:c>
      <x:c r="L149" s="8" t="n">
        <x:v>7</x:v>
      </x:c>
      <x:c r="M149" s="10" t="n">
        <x:v>49.965794700000515</x:v>
      </x:c>
      <x:c r="N149" s="10" t="n">
        <x:v>37.646891100000175</x:v>
      </x:c>
      <x:c r="O149" s="7" t="str"/>
      <x:c r="P149" s="7" t="str"/>
    </x:row>
    <x:row r="150">
      <x:c r="A150" s="2" t="str">
        <x:v>BV1-149</x:v>
      </x:c>
      <x:c r="B150" s="7" t="str">
        <x:v>NTL spatiotemporal analysis and querying</x:v>
      </x:c>
      <x:c r="C150" s="7" t="str">
        <x:v>For the supplied Chengdu radiance values, exclude missing observations and calculate the share greater than or equal to the stated threshold.</x:v>
      </x:c>
      <x:c r="D150" s="2" t="str">
        <x:v>Pass</x:v>
      </x:c>
      <x:c r="E150" s="2" t="str">
        <x:v>Pass</x:v>
      </x:c>
      <x:c r="F150" s="7" t="str">
        <x:v>final-record-20260817</x:v>
      </x:c>
      <x:c r="G150" s="8" t="n">
        <x:v>10</x:v>
      </x:c>
      <x:c r="H150" s="8" t="n">
        <x:v>7</x:v>
      </x:c>
      <x:c r="I150" s="9" t="n">
        <x:v>157272</x:v>
      </x:c>
      <x:c r="J150" s="9" t="n">
        <x:v>282069</x:v>
      </x:c>
      <x:c r="K150" s="8" t="n">
        <x:v>10</x:v>
      </x:c>
      <x:c r="L150" s="8" t="n">
        <x:v>7</x:v>
      </x:c>
      <x:c r="M150" s="10" t="n">
        <x:v>62.10721689999991</x:v>
      </x:c>
      <x:c r="N150" s="10" t="n">
        <x:v>48.273566500000015</x:v>
      </x:c>
      <x:c r="O150" s="7" t="str"/>
      <x:c r="P150" s="7" t="str"/>
    </x:row>
    <x:row r="151">
      <x:c r="A151" s="2" t="str">
        <x:v>BV1-150</x:v>
      </x:c>
      <x:c r="B151" s="7" t="str">
        <x:v>NTL spatiotemporal analysis and querying</x:v>
      </x:c>
      <x:c r="C151" s="7" t="str">
        <x:v>For the supplied Wuhan radiance values, exclude missing observations and calculate the share greater than or equal to the stated threshold.</x:v>
      </x:c>
      <x:c r="D151" s="2" t="str">
        <x:v>Pass</x:v>
      </x:c>
      <x:c r="E151" s="2" t="str">
        <x:v>Pass</x:v>
      </x:c>
      <x:c r="F151" s="7" t="str">
        <x:v>final-record-20260817</x:v>
      </x:c>
      <x:c r="G151" s="8" t="n">
        <x:v>14</x:v>
      </x:c>
      <x:c r="H151" s="8" t="n">
        <x:v>8</x:v>
      </x:c>
      <x:c r="I151" s="9" t="n">
        <x:v>237231</x:v>
      </x:c>
      <x:c r="J151" s="9" t="n">
        <x:v>328504</x:v>
      </x:c>
      <x:c r="K151" s="8" t="n">
        <x:v>14</x:v>
      </x:c>
      <x:c r="L151" s="8" t="n">
        <x:v>9</x:v>
      </x:c>
      <x:c r="M151" s="10" t="n">
        <x:v>54.539245399999345</x:v>
      </x:c>
      <x:c r="N151" s="10" t="n">
        <x:v>54.9761324000001</x:v>
      </x:c>
      <x:c r="O151" s="7" t="str"/>
      <x:c r="P151" s="7" t="str"/>
    </x:row>
    <x:row r="152">
      <x:c r="A152" s="2" t="str">
        <x:v>BV1-151</x:v>
      </x:c>
      <x:c r="B152" s="7" t="str">
        <x:v>NTL spatiotemporal analysis and querying</x:v>
      </x:c>
      <x:c r="C152" s="7" t="str">
        <x:v>Using the supplied annual ANTL series for Shanghai, report endpoint absolute change, percent change, and compound annual growth rate.</x:v>
      </x:c>
      <x:c r="D152" s="2" t="str">
        <x:v>Pass</x:v>
      </x:c>
      <x:c r="E152" s="2" t="str">
        <x:v>Pass</x:v>
      </x:c>
      <x:c r="F152" s="7" t="str">
        <x:v>final-record-20260817</x:v>
      </x:c>
      <x:c r="G152" s="8" t="n">
        <x:v>7</x:v>
      </x:c>
      <x:c r="H152" s="8" t="n">
        <x:v>7</x:v>
      </x:c>
      <x:c r="I152" s="9" t="n">
        <x:v>110636</x:v>
      </x:c>
      <x:c r="J152" s="9" t="n">
        <x:v>288512</x:v>
      </x:c>
      <x:c r="K152" s="8" t="n">
        <x:v>7</x:v>
      </x:c>
      <x:c r="L152" s="8" t="n">
        <x:v>7</x:v>
      </x:c>
      <x:c r="M152" s="10" t="n">
        <x:v>52.9326704999994</x:v>
      </x:c>
      <x:c r="N152" s="10" t="n">
        <x:v>55.34674570000061</x:v>
      </x:c>
      <x:c r="O152" s="7" t="str"/>
      <x:c r="P152" s="7" t="str"/>
    </x:row>
    <x:row r="153">
      <x:c r="A153" s="2" t="str">
        <x:v>BV1-152</x:v>
      </x:c>
      <x:c r="B153" s="7" t="str">
        <x:v>NTL spatiotemporal analysis and querying</x:v>
      </x:c>
      <x:c r="C153" s="7" t="str">
        <x:v>Using the supplied annual ANTL series for Beijing, report endpoint absolute change, percent change, and compound annual growth rate.</x:v>
      </x:c>
      <x:c r="D153" s="2" t="str">
        <x:v>Pass</x:v>
      </x:c>
      <x:c r="E153" s="2" t="str">
        <x:v>Pass</x:v>
      </x:c>
      <x:c r="F153" s="7" t="str">
        <x:v>final-record-20260817</x:v>
      </x:c>
      <x:c r="G153" s="8" t="n">
        <x:v>7</x:v>
      </x:c>
      <x:c r="H153" s="8" t="n">
        <x:v>10</x:v>
      </x:c>
      <x:c r="I153" s="9" t="n">
        <x:v>107211</x:v>
      </x:c>
      <x:c r="J153" s="9" t="n">
        <x:v>419684</x:v>
      </x:c>
      <x:c r="K153" s="8" t="n">
        <x:v>7</x:v>
      </x:c>
      <x:c r="L153" s="8" t="n">
        <x:v>10</x:v>
      </x:c>
      <x:c r="M153" s="10" t="n">
        <x:v>48.146676400000615</x:v>
      </x:c>
      <x:c r="N153" s="10" t="n">
        <x:v>53.2972606000003</x:v>
      </x:c>
      <x:c r="O153" s="7" t="str"/>
      <x:c r="P153" s="7" t="str"/>
    </x:row>
    <x:row r="154">
      <x:c r="A154" s="2" t="str">
        <x:v>BV1-153</x:v>
      </x:c>
      <x:c r="B154" s="7" t="str">
        <x:v>NTL spatiotemporal analysis and querying</x:v>
      </x:c>
      <x:c r="C154" s="7" t="str">
        <x:v>Using the supplied annual ANTL series for Guangzhou, report endpoint absolute change, percent change, and compound annual growth rate.</x:v>
      </x:c>
      <x:c r="D154" s="2" t="str">
        <x:v>Pass</x:v>
      </x:c>
      <x:c r="E154" s="2" t="str">
        <x:v>Pass</x:v>
      </x:c>
      <x:c r="F154" s="7" t="str">
        <x:v>final-record-20260817</x:v>
      </x:c>
      <x:c r="G154" s="8" t="n">
        <x:v>9</x:v>
      </x:c>
      <x:c r="H154" s="8" t="n">
        <x:v>8</x:v>
      </x:c>
      <x:c r="I154" s="9" t="n">
        <x:v>158206</x:v>
      </x:c>
      <x:c r="J154" s="9" t="n">
        <x:v>331683</x:v>
      </x:c>
      <x:c r="K154" s="8" t="n">
        <x:v>9</x:v>
      </x:c>
      <x:c r="L154" s="8" t="n">
        <x:v>11</x:v>
      </x:c>
      <x:c r="M154" s="10" t="n">
        <x:v>58.277591799999755</x:v>
      </x:c>
      <x:c r="N154" s="10" t="n">
        <x:v>57.811390000000756</x:v>
      </x:c>
      <x:c r="O154" s="7" t="str"/>
      <x:c r="P154" s="7" t="str"/>
    </x:row>
    <x:row r="155">
      <x:c r="A155" s="2" t="str">
        <x:v>BV1-154</x:v>
      </x:c>
      <x:c r="B155" s="7" t="str">
        <x:v>NTL spatiotemporal analysis and querying</x:v>
      </x:c>
      <x:c r="C155" s="7" t="str">
        <x:v>Using the supplied annual ANTL series for Chengdu, report endpoint absolute change, percent change, and compound annual growth rate.</x:v>
      </x:c>
      <x:c r="D155" s="2" t="str">
        <x:v>Pass</x:v>
      </x:c>
      <x:c r="E155" s="2" t="str">
        <x:v>Pass</x:v>
      </x:c>
      <x:c r="F155" s="7" t="str">
        <x:v>final-record-20260817</x:v>
      </x:c>
      <x:c r="G155" s="8" t="n">
        <x:v>12</x:v>
      </x:c>
      <x:c r="H155" s="8" t="n">
        <x:v>7</x:v>
      </x:c>
      <x:c r="I155" s="9" t="n">
        <x:v>242919</x:v>
      </x:c>
      <x:c r="J155" s="9" t="n">
        <x:v>282619</x:v>
      </x:c>
      <x:c r="K155" s="8" t="n">
        <x:v>15</x:v>
      </x:c>
      <x:c r="L155" s="8" t="n">
        <x:v>7</x:v>
      </x:c>
      <x:c r="M155" s="10" t="n">
        <x:v>84.02333360000011</x:v>
      </x:c>
      <x:c r="N155" s="10" t="n">
        <x:v>46.66656609999973</x:v>
      </x:c>
      <x:c r="O155" s="7" t="str"/>
      <x:c r="P155" s="7" t="str"/>
    </x:row>
    <x:row r="156">
      <x:c r="A156" s="2" t="str">
        <x:v>BV1-155</x:v>
      </x:c>
      <x:c r="B156" s="7" t="str">
        <x:v>NTL spatiotemporal analysis and querying</x:v>
      </x:c>
      <x:c r="C156" s="7" t="str">
        <x:v>Using the supplied annual ANTL series for Wuhan, report endpoint absolute change, percent change, and compound annual growth rate.</x:v>
      </x:c>
      <x:c r="D156" s="2" t="str">
        <x:v>Pass</x:v>
      </x:c>
      <x:c r="E156" s="2" t="str">
        <x:v>Pass</x:v>
      </x:c>
      <x:c r="F156" s="7" t="str">
        <x:v>final-record-20260817</x:v>
      </x:c>
      <x:c r="G156" s="8" t="n">
        <x:v>7</x:v>
      </x:c>
      <x:c r="H156" s="8" t="n">
        <x:v>8</x:v>
      </x:c>
      <x:c r="I156" s="9" t="n">
        <x:v>105363</x:v>
      </x:c>
      <x:c r="J156" s="9" t="n">
        <x:v>329975</x:v>
      </x:c>
      <x:c r="K156" s="8" t="n">
        <x:v>7</x:v>
      </x:c>
      <x:c r="L156" s="8" t="n">
        <x:v>10</x:v>
      </x:c>
      <x:c r="M156" s="10" t="n">
        <x:v>48.358513299999686</x:v>
      </x:c>
      <x:c r="N156" s="10" t="n">
        <x:v>51.27396430000044</x:v>
      </x:c>
      <x:c r="O156" s="7" t="str"/>
      <x:c r="P156" s="7" t="str"/>
    </x:row>
    <x:row r="157">
      <x:c r="A157" s="2" t="str">
        <x:v>BV1-156</x:v>
      </x:c>
      <x:c r="B157" s="7" t="str">
        <x:v>NTL spatiotemporal analysis and querying</x:v>
      </x:c>
      <x:c r="C157" s="7" t="str">
        <x:v>Compare the supplied Shanghai observation with its baseline using the population standard deviation; report the z score and whether it meets the stated absolute anomaly threshold.</x:v>
      </x:c>
      <x:c r="D157" s="2" t="str">
        <x:v>Pass</x:v>
      </x:c>
      <x:c r="E157" s="2" t="str">
        <x:v>Pass</x:v>
      </x:c>
      <x:c r="F157" s="7" t="str">
        <x:v>final-record-20260817</x:v>
      </x:c>
      <x:c r="G157" s="8" t="n">
        <x:v>9</x:v>
      </x:c>
      <x:c r="H157" s="8" t="n">
        <x:v>9</x:v>
      </x:c>
      <x:c r="I157" s="9" t="n">
        <x:v>168507</x:v>
      </x:c>
      <x:c r="J157" s="9" t="n">
        <x:v>381939</x:v>
      </x:c>
      <x:c r="K157" s="8" t="n">
        <x:v>12</x:v>
      </x:c>
      <x:c r="L157" s="8" t="n">
        <x:v>10</x:v>
      </x:c>
      <x:c r="M157" s="10" t="n">
        <x:v>63.84430429999975</x:v>
      </x:c>
      <x:c r="N157" s="10" t="n">
        <x:v>90.41381760000058</x:v>
      </x:c>
      <x:c r="O157" s="7" t="str"/>
      <x:c r="P157" s="7" t="str"/>
    </x:row>
    <x:row r="158">
      <x:c r="A158" s="2" t="str">
        <x:v>BV1-157</x:v>
      </x:c>
      <x:c r="B158" s="7" t="str">
        <x:v>NTL spatiotemporal analysis and querying</x:v>
      </x:c>
      <x:c r="C158" s="7" t="str">
        <x:v>Compare the supplied Beijing observation with its baseline using the population standard deviation; report the z score and whether it meets the stated absolute anomaly threshold.</x:v>
      </x:c>
      <x:c r="D158" s="2" t="str">
        <x:v>Pass</x:v>
      </x:c>
      <x:c r="E158" s="2" t="str">
        <x:v>Pass</x:v>
      </x:c>
      <x:c r="F158" s="7" t="str">
        <x:v>final-record-20260817</x:v>
      </x:c>
      <x:c r="G158" s="8" t="n">
        <x:v>10</x:v>
      </x:c>
      <x:c r="H158" s="8" t="n">
        <x:v>24</x:v>
      </x:c>
      <x:c r="I158" s="9" t="n">
        <x:v>188343</x:v>
      </x:c>
      <x:c r="J158" s="9" t="n">
        <x:v>1308962</x:v>
      </x:c>
      <x:c r="K158" s="8" t="n">
        <x:v>12</x:v>
      </x:c>
      <x:c r="L158" s="8" t="n">
        <x:v>26</x:v>
      </x:c>
      <x:c r="M158" s="10" t="n">
        <x:v>59.891207399999985</x:v>
      </x:c>
      <x:c r="N158" s="10" t="n">
        <x:v>216.93590010000025</x:v>
      </x:c>
      <x:c r="O158" s="7" t="str"/>
      <x:c r="P158" s="7" t="str"/>
    </x:row>
    <x:row r="159">
      <x:c r="A159" s="2" t="str">
        <x:v>BV1-158</x:v>
      </x:c>
      <x:c r="B159" s="7" t="str">
        <x:v>NTL spatiotemporal analysis and querying</x:v>
      </x:c>
      <x:c r="C159" s="7" t="str">
        <x:v>Compare the supplied Guangzhou observation with its baseline using the population standard deviation; report the z score and whether it meets the stated absolute anomaly threshold.</x:v>
      </x:c>
      <x:c r="D159" s="2" t="str">
        <x:v>Pass</x:v>
      </x:c>
      <x:c r="E159" s="2" t="str">
        <x:v>Pass</x:v>
      </x:c>
      <x:c r="F159" s="7" t="str">
        <x:v>final-record-20260817</x:v>
      </x:c>
      <x:c r="G159" s="8" t="n">
        <x:v>8</x:v>
      </x:c>
      <x:c r="H159" s="8" t="n">
        <x:v>7</x:v>
      </x:c>
      <x:c r="I159" s="9" t="n">
        <x:v>138836</x:v>
      </x:c>
      <x:c r="J159" s="9" t="n">
        <x:v>284670</x:v>
      </x:c>
      <x:c r="K159" s="8" t="n">
        <x:v>8</x:v>
      </x:c>
      <x:c r="L159" s="8" t="n">
        <x:v>10</x:v>
      </x:c>
      <x:c r="M159" s="10" t="n">
        <x:v>64.62316629999987</x:v>
      </x:c>
      <x:c r="N159" s="10" t="n">
        <x:v>45.93021159999989</x:v>
      </x:c>
      <x:c r="O159" s="7" t="str"/>
      <x:c r="P159" s="7" t="str"/>
    </x:row>
    <x:row r="160">
      <x:c r="A160" s="2" t="str">
        <x:v>BV1-159</x:v>
      </x:c>
      <x:c r="B160" s="7" t="str">
        <x:v>NTL spatiotemporal analysis and querying</x:v>
      </x:c>
      <x:c r="C160" s="7" t="str">
        <x:v>Compare the supplied Chengdu observation with its baseline using the population standard deviation; report the z score and whether it meets the stated absolute anomaly threshold.</x:v>
      </x:c>
      <x:c r="D160" s="2" t="str">
        <x:v>Pass</x:v>
      </x:c>
      <x:c r="E160" s="2" t="str">
        <x:v>Pass</x:v>
      </x:c>
      <x:c r="F160" s="7" t="str">
        <x:v>final-record-20260817</x:v>
      </x:c>
      <x:c r="G160" s="8" t="n">
        <x:v>12</x:v>
      </x:c>
      <x:c r="H160" s="8" t="n">
        <x:v>7</x:v>
      </x:c>
      <x:c r="I160" s="9" t="n">
        <x:v>246306</x:v>
      </x:c>
      <x:c r="J160" s="9" t="n">
        <x:v>290241</x:v>
      </x:c>
      <x:c r="K160" s="8" t="n">
        <x:v>13</x:v>
      </x:c>
      <x:c r="L160" s="8" t="n">
        <x:v>8</x:v>
      </x:c>
      <x:c r="M160" s="10" t="n">
        <x:v>73.30378060000021</x:v>
      </x:c>
      <x:c r="N160" s="10" t="n">
        <x:v>61.68186800000058</x:v>
      </x:c>
      <x:c r="O160" s="7" t="str"/>
      <x:c r="P160" s="7" t="str"/>
    </x:row>
    <x:row r="161">
      <x:c r="A161" s="2" t="str">
        <x:v>BV1-160</x:v>
      </x:c>
      <x:c r="B161" s="7" t="str">
        <x:v>NTL spatiotemporal analysis and querying</x:v>
      </x:c>
      <x:c r="C161" s="7" t="str">
        <x:v>Compare the supplied Wuhan observation with its baseline using the population standard deviation; report the z score and whether it meets the stated absolute anomaly threshold.</x:v>
      </x:c>
      <x:c r="D161" s="2" t="str">
        <x:v>Pass</x:v>
      </x:c>
      <x:c r="E161" s="2" t="str">
        <x:v>Pass</x:v>
      </x:c>
      <x:c r="F161" s="7" t="str">
        <x:v>final-record-20260817</x:v>
      </x:c>
      <x:c r="G161" s="8" t="n">
        <x:v>20</x:v>
      </x:c>
      <x:c r="H161" s="8" t="n">
        <x:v>15</x:v>
      </x:c>
      <x:c r="I161" s="9" t="n">
        <x:v>405635</x:v>
      </x:c>
      <x:c r="J161" s="9" t="n">
        <x:v>754023</x:v>
      </x:c>
      <x:c r="K161" s="8" t="n">
        <x:v>23</x:v>
      </x:c>
      <x:c r="L161" s="8" t="n">
        <x:v>19</x:v>
      </x:c>
      <x:c r="M161" s="10" t="n">
        <x:v>106.64744189999965</x:v>
      </x:c>
      <x:c r="N161" s="10" t="n">
        <x:v>171.60915750000004</x:v>
      </x:c>
      <x:c r="O161" s="7" t="str"/>
      <x:c r="P161" s="7" t="str"/>
    </x:row>
    <x:row r="162">
      <x:c r="A162" s="2" t="str">
        <x:v>BV1-161</x:v>
      </x:c>
      <x:c r="B162" s="7" t="str">
        <x:v>NTL spatiotemporal analysis and querying</x:v>
      </x:c>
      <x:c r="C162" s="7" t="str">
        <x:v>Estimate the linear OLS slope and Sen median slope for the supplied annual Shanghai nighttime-light series, and report both in units per year.</x:v>
      </x:c>
      <x:c r="D162" s="2" t="str">
        <x:v>Pass</x:v>
      </x:c>
      <x:c r="E162" s="2" t="str">
        <x:v>Pass</x:v>
      </x:c>
      <x:c r="F162" s="7" t="str">
        <x:v>final-record-20260817</x:v>
      </x:c>
      <x:c r="G162" s="8" t="n">
        <x:v>16</x:v>
      </x:c>
      <x:c r="H162" s="8" t="n">
        <x:v>14</x:v>
      </x:c>
      <x:c r="I162" s="9" t="n">
        <x:v>317322</x:v>
      </x:c>
      <x:c r="J162" s="9" t="n">
        <x:v>804761</x:v>
      </x:c>
      <x:c r="K162" s="8" t="n">
        <x:v>21</x:v>
      </x:c>
      <x:c r="L162" s="8" t="n">
        <x:v>20</x:v>
      </x:c>
      <x:c r="M162" s="10" t="n">
        <x:v>133.36197830000037</x:v>
      </x:c>
      <x:c r="N162" s="10" t="n">
        <x:v>253.70631459999913</x:v>
      </x:c>
      <x:c r="O162" s="7" t="str"/>
      <x:c r="P162" s="7" t="str"/>
    </x:row>
    <x:row r="163">
      <x:c r="A163" s="2" t="str">
        <x:v>BV1-162</x:v>
      </x:c>
      <x:c r="B163" s="7" t="str">
        <x:v>NTL spatiotemporal analysis and querying</x:v>
      </x:c>
      <x:c r="C163" s="7" t="str">
        <x:v>Estimate the linear OLS slope and Sen median slope for the supplied annual Beijing nighttime-light series, and report both in units per year.</x:v>
      </x:c>
      <x:c r="D163" s="2" t="str">
        <x:v>Pass</x:v>
      </x:c>
      <x:c r="E163" s="2" t="str">
        <x:v>Pass</x:v>
      </x:c>
      <x:c r="F163" s="7" t="str">
        <x:v>final-record-20260817</x:v>
      </x:c>
      <x:c r="G163" s="8" t="n">
        <x:v>21</x:v>
      </x:c>
      <x:c r="H163" s="8" t="n">
        <x:v>16</x:v>
      </x:c>
      <x:c r="I163" s="9" t="n">
        <x:v>508435</x:v>
      </x:c>
      <x:c r="J163" s="9" t="n">
        <x:v>874737</x:v>
      </x:c>
      <x:c r="K163" s="8" t="n">
        <x:v>27</x:v>
      </x:c>
      <x:c r="L163" s="8" t="n">
        <x:v>22</x:v>
      </x:c>
      <x:c r="M163" s="10" t="n">
        <x:v>194.48916070000087</x:v>
      </x:c>
      <x:c r="N163" s="10" t="n">
        <x:v>242.7751132000003</x:v>
      </x:c>
      <x:c r="O163" s="7" t="str"/>
      <x:c r="P163" s="7" t="str"/>
    </x:row>
    <x:row r="164">
      <x:c r="A164" s="2" t="str">
        <x:v>BV1-163</x:v>
      </x:c>
      <x:c r="B164" s="7" t="str">
        <x:v>NTL spatiotemporal analysis and querying</x:v>
      </x:c>
      <x:c r="C164" s="7" t="str">
        <x:v>Estimate the linear OLS slope and Sen median slope for the supplied annual Guangzhou nighttime-light series, and report both in units per year.</x:v>
      </x:c>
      <x:c r="D164" s="2" t="str">
        <x:v>Pass</x:v>
      </x:c>
      <x:c r="E164" s="2" t="str">
        <x:v>Pass</x:v>
      </x:c>
      <x:c r="F164" s="7" t="str">
        <x:v>final-record-20260817</x:v>
      </x:c>
      <x:c r="G164" s="8" t="n">
        <x:v>17</x:v>
      </x:c>
      <x:c r="H164" s="8" t="n">
        <x:v>16</x:v>
      </x:c>
      <x:c r="I164" s="9" t="n">
        <x:v>337004</x:v>
      </x:c>
      <x:c r="J164" s="9" t="n">
        <x:v>762920</x:v>
      </x:c>
      <x:c r="K164" s="8" t="n">
        <x:v>18</x:v>
      </x:c>
      <x:c r="L164" s="8" t="n">
        <x:v>17</x:v>
      </x:c>
      <x:c r="M164" s="10" t="n">
        <x:v>122.5767235000003</x:v>
      </x:c>
      <x:c r="N164" s="10" t="n">
        <x:v>121.99841620000007</x:v>
      </x:c>
      <x:c r="O164" s="7" t="str"/>
      <x:c r="P164" s="7" t="str"/>
    </x:row>
    <x:row r="165">
      <x:c r="A165" s="2" t="str">
        <x:v>BV1-164</x:v>
      </x:c>
      <x:c r="B165" s="7" t="str">
        <x:v>NTL spatiotemporal analysis and querying</x:v>
      </x:c>
      <x:c r="C165" s="7" t="str">
        <x:v>Estimate the linear OLS slope and Sen median slope for the supplied annual Chengdu nighttime-light series, and report both in units per year.</x:v>
      </x:c>
      <x:c r="D165" s="2" t="str">
        <x:v>Pass</x:v>
      </x:c>
      <x:c r="E165" s="2" t="str">
        <x:v>Pass</x:v>
      </x:c>
      <x:c r="F165" s="7" t="str">
        <x:v>final-record-20260817</x:v>
      </x:c>
      <x:c r="G165" s="8" t="n">
        <x:v>21</x:v>
      </x:c>
      <x:c r="H165" s="8" t="n">
        <x:v>31</x:v>
      </x:c>
      <x:c r="I165" s="9" t="n">
        <x:v>517984</x:v>
      </x:c>
      <x:c r="J165" s="9" t="n">
        <x:v>2098169</x:v>
      </x:c>
      <x:c r="K165" s="8" t="n">
        <x:v>28</x:v>
      </x:c>
      <x:c r="L165" s="8" t="n">
        <x:v>39</x:v>
      </x:c>
      <x:c r="M165" s="10" t="n">
        <x:v>164.20643409999957</x:v>
      </x:c>
      <x:c r="N165" s="10" t="n">
        <x:v>323.9945234000006</x:v>
      </x:c>
      <x:c r="O165" s="7" t="str"/>
      <x:c r="P165" s="7" t="str"/>
    </x:row>
    <x:row r="166">
      <x:c r="A166" s="2" t="str">
        <x:v>BV1-165</x:v>
      </x:c>
      <x:c r="B166" s="7" t="str">
        <x:v>NTL spatiotemporal analysis and querying</x:v>
      </x:c>
      <x:c r="C166" s="7" t="str">
        <x:v>Estimate the linear OLS slope and Sen median slope for the supplied annual Wuhan nighttime-light series, and report both in units per year.</x:v>
      </x:c>
      <x:c r="D166" s="2" t="str">
        <x:v>Pass</x:v>
      </x:c>
      <x:c r="E166" s="2" t="str">
        <x:v>Pass</x:v>
      </x:c>
      <x:c r="F166" s="7" t="str">
        <x:v>final-record-20260817</x:v>
      </x:c>
      <x:c r="G166" s="8" t="n">
        <x:v>16</x:v>
      </x:c>
      <x:c r="H166" s="8" t="n">
        <x:v>21</x:v>
      </x:c>
      <x:c r="I166" s="9" t="n">
        <x:v>326912</x:v>
      </x:c>
      <x:c r="J166" s="9" t="n">
        <x:v>1252045</x:v>
      </x:c>
      <x:c r="K166" s="8" t="n">
        <x:v>19</x:v>
      </x:c>
      <x:c r="L166" s="8" t="n">
        <x:v>29</x:v>
      </x:c>
      <x:c r="M166" s="10" t="n">
        <x:v>83.96032680000008</x:v>
      </x:c>
      <x:c r="N166" s="10" t="n">
        <x:v>302.9464146999999</x:v>
      </x:c>
      <x:c r="O166" s="7" t="str"/>
      <x:c r="P166" s="7" t="str"/>
    </x:row>
    <x:row r="167">
      <x:c r="A167" s="2" t="str">
        <x:v>BV1-166</x:v>
      </x:c>
      <x:c r="B167" s="7" t="str">
        <x:v>NTL spatiotemporal analysis and querying</x:v>
      </x:c>
      <x:c r="C167" s="7" t="str">
        <x:v>Using the supplied Shanghai cell-level TNTL values, calculate cell shares, the Herfindahl–Hirschman index, and the population-form Gini coefficient.</x:v>
      </x:c>
      <x:c r="D167" s="2" t="str">
        <x:v>Pass</x:v>
      </x:c>
      <x:c r="E167" s="2" t="str">
        <x:v>Fail</x:v>
      </x:c>
      <x:c r="F167" s="7" t="str">
        <x:v>final-record-20260817</x:v>
      </x:c>
      <x:c r="G167" s="8" t="n">
        <x:v>15</x:v>
      </x:c>
      <x:c r="H167" s="8" t="n">
        <x:v>4</x:v>
      </x:c>
      <x:c r="I167" s="9" t="n">
        <x:v>404852</x:v>
      </x:c>
      <x:c r="J167" s="9" t="n">
        <x:v>155291</x:v>
      </x:c>
      <x:c r="K167" s="8" t="n">
        <x:v>18</x:v>
      </x:c>
      <x:c r="L167" s="8" t="n">
        <x:v>6</x:v>
      </x:c>
      <x:c r="M167" s="10" t="n">
        <x:v>122.04488459999993</x:v>
      </x:c>
      <x:c r="N167" s="10" t="n">
        <x:v>55.11122809999961</x:v>
      </x:c>
      <x:c r="O167" s="7" t="str"/>
      <x:c r="P167" s="7" t="str"/>
    </x:row>
    <x:row r="168">
      <x:c r="A168" s="2" t="str">
        <x:v>BV1-167</x:v>
      </x:c>
      <x:c r="B168" s="7" t="str">
        <x:v>NTL spatiotemporal analysis and querying</x:v>
      </x:c>
      <x:c r="C168" s="7" t="str">
        <x:v>Using the supplied Beijing cell-level TNTL values, calculate cell shares, the Herfindahl–Hirschman index, and the population-form Gini coefficient.</x:v>
      </x:c>
      <x:c r="D168" s="2" t="str">
        <x:v>Pass</x:v>
      </x:c>
      <x:c r="E168" s="2" t="str">
        <x:v>Fail</x:v>
      </x:c>
      <x:c r="F168" s="7" t="str">
        <x:v>final-record-20260817</x:v>
      </x:c>
      <x:c r="G168" s="8" t="n">
        <x:v>15</x:v>
      </x:c>
      <x:c r="H168" s="8" t="n">
        <x:v>5</x:v>
      </x:c>
      <x:c r="I168" s="9" t="n">
        <x:v>390279</x:v>
      </x:c>
      <x:c r="J168" s="9" t="n">
        <x:v>193089</x:v>
      </x:c>
      <x:c r="K168" s="8" t="n">
        <x:v>25</x:v>
      </x:c>
      <x:c r="L168" s="8" t="n">
        <x:v>10</x:v>
      </x:c>
      <x:c r="M168" s="10" t="n">
        <x:v>143.260698099999</x:v>
      </x:c>
      <x:c r="N168" s="10" t="n">
        <x:v>49.66400759999942</x:v>
      </x:c>
      <x:c r="O168" s="7" t="str"/>
      <x:c r="P168" s="7" t="str"/>
    </x:row>
    <x:row r="169">
      <x:c r="A169" s="2" t="str">
        <x:v>BV1-168</x:v>
      </x:c>
      <x:c r="B169" s="7" t="str">
        <x:v>NTL spatiotemporal analysis and querying</x:v>
      </x:c>
      <x:c r="C169" s="7" t="str">
        <x:v>Using the supplied Guangzhou cell-level TNTL values, calculate cell shares, the Herfindahl–Hirschman index, and the population-form Gini coefficient.</x:v>
      </x:c>
      <x:c r="D169" s="2" t="str">
        <x:v>Fail</x:v>
      </x:c>
      <x:c r="E169" s="2" t="str">
        <x:v>Pass</x:v>
      </x:c>
      <x:c r="F169" s="7" t="str">
        <x:v>final-record-20260817</x:v>
      </x:c>
      <x:c r="G169" s="8" t="n">
        <x:v>3</x:v>
      </x:c>
      <x:c r="H169" s="8" t="n">
        <x:v>20</x:v>
      </x:c>
      <x:c r="I169" s="9" t="n">
        <x:v>39768</x:v>
      </x:c>
      <x:c r="J169" s="9" t="n">
        <x:v>1205835</x:v>
      </x:c>
      <x:c r="K169" s="8" t="n">
        <x:v>6</x:v>
      </x:c>
      <x:c r="L169" s="8" t="n">
        <x:v>26</x:v>
      </x:c>
      <x:c r="M169" s="10" t="n">
        <x:v>35.318116099999315</x:v>
      </x:c>
      <x:c r="N169" s="10" t="n">
        <x:v>291.29263959999935</x:v>
      </x:c>
      <x:c r="O169" s="7" t="str"/>
      <x:c r="P169" s="7" t="str"/>
    </x:row>
    <x:row r="170">
      <x:c r="A170" s="2" t="str">
        <x:v>BV1-169</x:v>
      </x:c>
      <x:c r="B170" s="7" t="str">
        <x:v>NTL spatiotemporal analysis and querying</x:v>
      </x:c>
      <x:c r="C170" s="7" t="str">
        <x:v>Using the supplied Chengdu cell-level TNTL values, calculate cell shares, the Herfindahl–Hirschman index, and the population-form Gini coefficient.</x:v>
      </x:c>
      <x:c r="D170" s="2" t="str">
        <x:v>Pass</x:v>
      </x:c>
      <x:c r="E170" s="2" t="str">
        <x:v>Pass</x:v>
      </x:c>
      <x:c r="F170" s="7" t="str">
        <x:v>final-record-20260817</x:v>
      </x:c>
      <x:c r="G170" s="8" t="n">
        <x:v>8</x:v>
      </x:c>
      <x:c r="H170" s="8" t="n">
        <x:v>16</x:v>
      </x:c>
      <x:c r="I170" s="9" t="n">
        <x:v>161401</x:v>
      </x:c>
      <x:c r="J170" s="9" t="n">
        <x:v>1024261</x:v>
      </x:c>
      <x:c r="K170" s="8" t="n">
        <x:v>9</x:v>
      </x:c>
      <x:c r="L170" s="8" t="n">
        <x:v>26</x:v>
      </x:c>
      <x:c r="M170" s="10" t="n">
        <x:v>98.4145408000004</x:v>
      </x:c>
      <x:c r="N170" s="10" t="n">
        <x:v>354.7273060999996</x:v>
      </x:c>
      <x:c r="O170" s="7" t="str"/>
      <x:c r="P170" s="7" t="str"/>
    </x:row>
    <x:row r="171">
      <x:c r="A171" s="2" t="str">
        <x:v>BV1-170</x:v>
      </x:c>
      <x:c r="B171" s="7" t="str">
        <x:v>NTL spatiotemporal analysis and querying</x:v>
      </x:c>
      <x:c r="C171" s="7" t="str">
        <x:v>Using the supplied Wuhan cell-level TNTL values, calculate cell shares, the Herfindahl–Hirschman index, and the population-form Gini coefficient.</x:v>
      </x:c>
      <x:c r="D171" s="2" t="str">
        <x:v>Pass</x:v>
      </x:c>
      <x:c r="E171" s="2" t="str">
        <x:v>Pass</x:v>
      </x:c>
      <x:c r="F171" s="7" t="str">
        <x:v>final-record-20260817</x:v>
      </x:c>
      <x:c r="G171" s="8" t="n">
        <x:v>18</x:v>
      </x:c>
      <x:c r="H171" s="8" t="n">
        <x:v>15</x:v>
      </x:c>
      <x:c r="I171" s="9" t="n">
        <x:v>412444</x:v>
      </x:c>
      <x:c r="J171" s="9" t="n">
        <x:v>755822</x:v>
      </x:c>
      <x:c r="K171" s="8" t="n">
        <x:v>23</x:v>
      </x:c>
      <x:c r="L171" s="8" t="n">
        <x:v>17</x:v>
      </x:c>
      <x:c r="M171" s="10" t="n">
        <x:v>130.13294190000033</x:v>
      </x:c>
      <x:c r="N171" s="10" t="n">
        <x:v>181.16972819999955</x:v>
      </x:c>
      <x:c r="O171" s="7" t="str"/>
      <x:c r="P171" s="7" t="str"/>
    </x:row>
    <x:row r="172">
      <x:c r="A172" s="2" t="str">
        <x:v>BV1-171</x:v>
      </x:c>
      <x:c r="B172" s="7" t="str">
        <x:v>NTL spatiotemporal analysis and querying</x:v>
      </x:c>
      <x:c r="C172" s="7" t="str">
        <x:v>Calculate the before and after light-weighted centroids from the supplied projected coordinates and weights for Shanghai, then report the x/y displacement and shift distance.</x:v>
      </x:c>
      <x:c r="D172" s="2" t="str">
        <x:v>Pass</x:v>
      </x:c>
      <x:c r="E172" s="2" t="str">
        <x:v>Pass</x:v>
      </x:c>
      <x:c r="F172" s="7" t="str">
        <x:v>final-record-20260817</x:v>
      </x:c>
      <x:c r="G172" s="8" t="n">
        <x:v>12</x:v>
      </x:c>
      <x:c r="H172" s="8" t="n">
        <x:v>7</x:v>
      </x:c>
      <x:c r="I172" s="9" t="n">
        <x:v>242374</x:v>
      </x:c>
      <x:c r="J172" s="9" t="n">
        <x:v>287887</x:v>
      </x:c>
      <x:c r="K172" s="8" t="n">
        <x:v>12</x:v>
      </x:c>
      <x:c r="L172" s="8" t="n">
        <x:v>8</x:v>
      </x:c>
      <x:c r="M172" s="10" t="n">
        <x:v>72.29879650000021</x:v>
      </x:c>
      <x:c r="N172" s="10" t="n">
        <x:v>50.4103070000001</x:v>
      </x:c>
      <x:c r="O172" s="7" t="str"/>
      <x:c r="P172" s="7" t="str"/>
    </x:row>
    <x:row r="173">
      <x:c r="A173" s="2" t="str">
        <x:v>BV1-172</x:v>
      </x:c>
      <x:c r="B173" s="7" t="str">
        <x:v>NTL spatiotemporal analysis and querying</x:v>
      </x:c>
      <x:c r="C173" s="7" t="str">
        <x:v>Calculate the before and after light-weighted centroids from the supplied projected coordinates and weights for Beijing, then report the x/y displacement and shift distance.</x:v>
      </x:c>
      <x:c r="D173" s="2" t="str">
        <x:v>Pass</x:v>
      </x:c>
      <x:c r="E173" s="2" t="str">
        <x:v>Pass</x:v>
      </x:c>
      <x:c r="F173" s="7" t="str">
        <x:v>final-record-20260817</x:v>
      </x:c>
      <x:c r="G173" s="8" t="n">
        <x:v>9</x:v>
      </x:c>
      <x:c r="H173" s="8" t="n">
        <x:v>6</x:v>
      </x:c>
      <x:c r="I173" s="9" t="n">
        <x:v>162354</x:v>
      </x:c>
      <x:c r="J173" s="9" t="n">
        <x:v>237486</x:v>
      </x:c>
      <x:c r="K173" s="8" t="n">
        <x:v>9</x:v>
      </x:c>
      <x:c r="L173" s="8" t="n">
        <x:v>6</x:v>
      </x:c>
      <x:c r="M173" s="10" t="n">
        <x:v>57.55420080000022</x:v>
      </x:c>
      <x:c r="N173" s="10" t="n">
        <x:v>47.25244680000014</x:v>
      </x:c>
      <x:c r="O173" s="7" t="str"/>
      <x:c r="P173" s="7" t="str"/>
    </x:row>
    <x:row r="174">
      <x:c r="A174" s="2" t="str">
        <x:v>BV1-173</x:v>
      </x:c>
      <x:c r="B174" s="7" t="str">
        <x:v>NTL spatiotemporal analysis and querying</x:v>
      </x:c>
      <x:c r="C174" s="7" t="str">
        <x:v>Calculate the before and after light-weighted centroids from the supplied projected coordinates and weights for Guangzhou, then report the x/y displacement and shift distance.</x:v>
      </x:c>
      <x:c r="D174" s="2" t="str">
        <x:v>Pass</x:v>
      </x:c>
      <x:c r="E174" s="2" t="str">
        <x:v>Pass</x:v>
      </x:c>
      <x:c r="F174" s="7" t="str">
        <x:v>final-record-20260817</x:v>
      </x:c>
      <x:c r="G174" s="8" t="n">
        <x:v>11</x:v>
      </x:c>
      <x:c r="H174" s="8" t="n">
        <x:v>11</x:v>
      </x:c>
      <x:c r="I174" s="9" t="n">
        <x:v>220180</x:v>
      </x:c>
      <x:c r="J174" s="9" t="n">
        <x:v>500674</x:v>
      </x:c>
      <x:c r="K174" s="8" t="n">
        <x:v>12</x:v>
      </x:c>
      <x:c r="L174" s="8" t="n">
        <x:v>13</x:v>
      </x:c>
      <x:c r="M174" s="10" t="n">
        <x:v>71.74403359999997</x:v>
      </x:c>
      <x:c r="N174" s="10" t="n">
        <x:v>81.0705152999999</x:v>
      </x:c>
      <x:c r="O174" s="7" t="str"/>
      <x:c r="P174" s="7" t="str"/>
    </x:row>
    <x:row r="175">
      <x:c r="A175" s="2" t="str">
        <x:v>BV1-174</x:v>
      </x:c>
      <x:c r="B175" s="7" t="str">
        <x:v>NTL spatiotemporal analysis and querying</x:v>
      </x:c>
      <x:c r="C175" s="7" t="str">
        <x:v>Calculate the before and after light-weighted centroids from the supplied projected coordinates and weights for Chengdu, then report the x/y displacement and shift distance.</x:v>
      </x:c>
      <x:c r="D175" s="2" t="str">
        <x:v>Pass</x:v>
      </x:c>
      <x:c r="E175" s="2" t="str">
        <x:v>Pass</x:v>
      </x:c>
      <x:c r="F175" s="7" t="str">
        <x:v>final-record-20260817</x:v>
      </x:c>
      <x:c r="G175" s="8" t="n">
        <x:v>8</x:v>
      </x:c>
      <x:c r="H175" s="8" t="n">
        <x:v>10</x:v>
      </x:c>
      <x:c r="I175" s="9" t="n">
        <x:v>126634</x:v>
      </x:c>
      <x:c r="J175" s="9" t="n">
        <x:v>457282</x:v>
      </x:c>
      <x:c r="K175" s="8" t="n">
        <x:v>8</x:v>
      </x:c>
      <x:c r="L175" s="8" t="n">
        <x:v>18</x:v>
      </x:c>
      <x:c r="M175" s="10" t="n">
        <x:v>44.6391064999998</x:v>
      </x:c>
      <x:c r="N175" s="10" t="n">
        <x:v>93.26471350000065</x:v>
      </x:c>
      <x:c r="O175" s="7" t="str"/>
      <x:c r="P175" s="7" t="str"/>
    </x:row>
    <x:row r="176">
      <x:c r="A176" s="2" t="str">
        <x:v>BV1-175</x:v>
      </x:c>
      <x:c r="B176" s="7" t="str">
        <x:v>NTL spatiotemporal analysis and querying</x:v>
      </x:c>
      <x:c r="C176" s="7" t="str">
        <x:v>Calculate the before and after light-weighted centroids from the supplied projected coordinates and weights for Wuhan, then report the x/y displacement and shift distance.</x:v>
      </x:c>
      <x:c r="D176" s="2" t="str">
        <x:v>Pass</x:v>
      </x:c>
      <x:c r="E176" s="2" t="str">
        <x:v>Pass</x:v>
      </x:c>
      <x:c r="F176" s="7" t="str">
        <x:v>final-record-20260817</x:v>
      </x:c>
      <x:c r="G176" s="8" t="n">
        <x:v>9</x:v>
      </x:c>
      <x:c r="H176" s="8" t="n">
        <x:v>7</x:v>
      </x:c>
      <x:c r="I176" s="9" t="n">
        <x:v>164344</x:v>
      </x:c>
      <x:c r="J176" s="9" t="n">
        <x:v>287466</x:v>
      </x:c>
      <x:c r="K176" s="8" t="n">
        <x:v>10</x:v>
      </x:c>
      <x:c r="L176" s="8" t="n">
        <x:v>7</x:v>
      </x:c>
      <x:c r="M176" s="10" t="n">
        <x:v>51.77476690000003</x:v>
      </x:c>
      <x:c r="N176" s="10" t="n">
        <x:v>53.95133029999943</x:v>
      </x:c>
      <x:c r="O176" s="7" t="str"/>
      <x:c r="P176" s="7" t="str"/>
    </x:row>
    <x:row r="177">
      <x:c r="A177" s="2" t="str">
        <x:v>BV1-176</x:v>
      </x:c>
      <x:c r="B177" s="7" t="str">
        <x:v>NTL spatiotemporal analysis and querying</x:v>
      </x:c>
      <x:c r="C177" s="7" t="str">
        <x:v>Assign the supplied Shanghai radiance samples to the stated radial rings and report valid count and ANTL for each ring.</x:v>
      </x:c>
      <x:c r="D177" s="2" t="str">
        <x:v>Pass</x:v>
      </x:c>
      <x:c r="E177" s="2" t="str">
        <x:v>Pass</x:v>
      </x:c>
      <x:c r="F177" s="7" t="str">
        <x:v>final-record-20260817</x:v>
      </x:c>
      <x:c r="G177" s="8" t="n">
        <x:v>9</x:v>
      </x:c>
      <x:c r="H177" s="8" t="n">
        <x:v>14</x:v>
      </x:c>
      <x:c r="I177" s="9" t="n">
        <x:v>163844</x:v>
      </x:c>
      <x:c r="J177" s="9" t="n">
        <x:v>651636</x:v>
      </x:c>
      <x:c r="K177" s="8" t="n">
        <x:v>10</x:v>
      </x:c>
      <x:c r="L177" s="8" t="n">
        <x:v>18</x:v>
      </x:c>
      <x:c r="M177" s="10" t="n">
        <x:v>57.829787300000135</x:v>
      </x:c>
      <x:c r="N177" s="10" t="n">
        <x:v>96.01711160000013</x:v>
      </x:c>
      <x:c r="O177" s="7" t="str"/>
      <x:c r="P177" s="7" t="str"/>
    </x:row>
    <x:row r="178">
      <x:c r="A178" s="2" t="str">
        <x:v>BV1-177</x:v>
      </x:c>
      <x:c r="B178" s="7" t="str">
        <x:v>NTL spatiotemporal analysis and querying</x:v>
      </x:c>
      <x:c r="C178" s="7" t="str">
        <x:v>Assign the supplied Beijing radiance samples to the stated radial rings and report valid count and ANTL for each ring.</x:v>
      </x:c>
      <x:c r="D178" s="2" t="str">
        <x:v>Pass</x:v>
      </x:c>
      <x:c r="E178" s="2" t="str">
        <x:v>Pass</x:v>
      </x:c>
      <x:c r="F178" s="7" t="str">
        <x:v>final-record-20260817</x:v>
      </x:c>
      <x:c r="G178" s="8" t="n">
        <x:v>12</x:v>
      </x:c>
      <x:c r="H178" s="8" t="n">
        <x:v>14</x:v>
      </x:c>
      <x:c r="I178" s="9" t="n">
        <x:v>239489</x:v>
      </x:c>
      <x:c r="J178" s="9" t="n">
        <x:v>724837</x:v>
      </x:c>
      <x:c r="K178" s="8" t="n">
        <x:v>17</x:v>
      </x:c>
      <x:c r="L178" s="8" t="n">
        <x:v>20</x:v>
      </x:c>
      <x:c r="M178" s="10" t="n">
        <x:v>89.1370878000007</x:v>
      </x:c>
      <x:c r="N178" s="10" t="n">
        <x:v>205.27525940000032</x:v>
      </x:c>
      <x:c r="O178" s="7" t="str"/>
      <x:c r="P178" s="7" t="str"/>
    </x:row>
    <x:row r="179">
      <x:c r="A179" s="2" t="str">
        <x:v>BV1-178</x:v>
      </x:c>
      <x:c r="B179" s="7" t="str">
        <x:v>NTL spatiotemporal analysis and querying</x:v>
      </x:c>
      <x:c r="C179" s="7" t="str">
        <x:v>Assign the supplied Guangzhou radiance samples to the stated radial rings and report valid count and ANTL for each ring.</x:v>
      </x:c>
      <x:c r="D179" s="2" t="str">
        <x:v>Pass</x:v>
      </x:c>
      <x:c r="E179" s="2" t="str">
        <x:v>Pass</x:v>
      </x:c>
      <x:c r="F179" s="7" t="str">
        <x:v>final-record-20260817</x:v>
      </x:c>
      <x:c r="G179" s="8" t="n">
        <x:v>15</x:v>
      </x:c>
      <x:c r="H179" s="8" t="n">
        <x:v>8</x:v>
      </x:c>
      <x:c r="I179" s="9" t="n">
        <x:v>311703</x:v>
      </x:c>
      <x:c r="J179" s="9" t="n">
        <x:v>331696</x:v>
      </x:c>
      <x:c r="K179" s="8" t="n">
        <x:v>25</x:v>
      </x:c>
      <x:c r="L179" s="8" t="n">
        <x:v>10</x:v>
      </x:c>
      <x:c r="M179" s="10" t="n">
        <x:v>97.9046242000004</x:v>
      </x:c>
      <x:c r="N179" s="10" t="n">
        <x:v>55.215393100000256</x:v>
      </x:c>
      <x:c r="O179" s="7" t="str"/>
      <x:c r="P179" s="7" t="str"/>
    </x:row>
    <x:row r="180">
      <x:c r="A180" s="2" t="str">
        <x:v>BV1-179</x:v>
      </x:c>
      <x:c r="B180" s="7" t="str">
        <x:v>NTL spatiotemporal analysis and querying</x:v>
      </x:c>
      <x:c r="C180" s="7" t="str">
        <x:v>Assign the supplied Chengdu radiance samples to the stated radial rings and report valid count and ANTL for each ring.</x:v>
      </x:c>
      <x:c r="D180" s="2" t="str">
        <x:v>Pass</x:v>
      </x:c>
      <x:c r="E180" s="2" t="str">
        <x:v>Pass</x:v>
      </x:c>
      <x:c r="F180" s="7" t="str">
        <x:v>final-record-20260817</x:v>
      </x:c>
      <x:c r="G180" s="8" t="n">
        <x:v>10</x:v>
      </x:c>
      <x:c r="H180" s="8" t="n">
        <x:v>10</x:v>
      </x:c>
      <x:c r="I180" s="9" t="n">
        <x:v>170803</x:v>
      </x:c>
      <x:c r="J180" s="9" t="n">
        <x:v>483810</x:v>
      </x:c>
      <x:c r="K180" s="8" t="n">
        <x:v>13</x:v>
      </x:c>
      <x:c r="L180" s="8" t="n">
        <x:v>15</x:v>
      </x:c>
      <x:c r="M180" s="10" t="n">
        <x:v>62.223028700000214</x:v>
      </x:c>
      <x:c r="N180" s="10" t="n">
        <x:v>147.03783309999926</x:v>
      </x:c>
      <x:c r="O180" s="7" t="str"/>
      <x:c r="P180" s="7" t="str"/>
    </x:row>
    <x:row r="181">
      <x:c r="A181" s="2" t="str">
        <x:v>BV1-180</x:v>
      </x:c>
      <x:c r="B181" s="7" t="str">
        <x:v>NTL spatiotemporal analysis and querying</x:v>
      </x:c>
      <x:c r="C181" s="7" t="str">
        <x:v>Assign the supplied Wuhan radiance samples to the stated radial rings and report valid count and ANTL for each ring.</x:v>
      </x:c>
      <x:c r="D181" s="2" t="str">
        <x:v>Pass</x:v>
      </x:c>
      <x:c r="E181" s="2" t="str">
        <x:v>Pass</x:v>
      </x:c>
      <x:c r="F181" s="7" t="str">
        <x:v>final-record-20260817</x:v>
      </x:c>
      <x:c r="G181" s="8" t="n">
        <x:v>18</x:v>
      </x:c>
      <x:c r="H181" s="8" t="n">
        <x:v>9</x:v>
      </x:c>
      <x:c r="I181" s="9" t="n">
        <x:v>440219</x:v>
      </x:c>
      <x:c r="J181" s="9" t="n">
        <x:v>377777</x:v>
      </x:c>
      <x:c r="K181" s="8" t="n">
        <x:v>24</x:v>
      </x:c>
      <x:c r="L181" s="8" t="n">
        <x:v>11</x:v>
      </x:c>
      <x:c r="M181" s="10" t="n">
        <x:v>127.92756550000013</x:v>
      </x:c>
      <x:c r="N181" s="10" t="n">
        <x:v>53.9289931000003</x:v>
      </x:c>
      <x:c r="O181" s="7" t="str"/>
      <x:c r="P181" s="7" t="str"/>
    </x:row>
    <x:row r="182">
      <x:c r="A182" s="2" t="str">
        <x:v>BV1-181</x:v>
      </x:c>
      <x:c r="B182" s="7" t="str">
        <x:v>NTL applications and modeling</x:v>
      </x:c>
      <x:c r="C182" s="7" t="str">
        <x:v>Fit a one-variable OLS model from the supplied Shanghai training table, predict the held-out rows, and report slope, intercept, predictions, mean absolute error, and root mean squared error.</x:v>
      </x:c>
      <x:c r="D182" s="2" t="str">
        <x:v>Pass</x:v>
      </x:c>
      <x:c r="E182" s="2" t="str">
        <x:v>Pass</x:v>
      </x:c>
      <x:c r="F182" s="7" t="str">
        <x:v>final-record-20260817</x:v>
      </x:c>
      <x:c r="G182" s="8" t="n">
        <x:v>13</x:v>
      </x:c>
      <x:c r="H182" s="8" t="n">
        <x:v>7</x:v>
      </x:c>
      <x:c r="I182" s="9" t="n">
        <x:v>258954</x:v>
      </x:c>
      <x:c r="J182" s="9" t="n">
        <x:v>295942</x:v>
      </x:c>
      <x:c r="K182" s="8" t="n">
        <x:v>17</x:v>
      </x:c>
      <x:c r="L182" s="8" t="n">
        <x:v>9</x:v>
      </x:c>
      <x:c r="M182" s="10" t="n">
        <x:v>70.7829842000001</x:v>
      </x:c>
      <x:c r="N182" s="10" t="n">
        <x:v>63.79311880000023</x:v>
      </x:c>
      <x:c r="O182" s="7" t="str"/>
      <x:c r="P182" s="7" t="str"/>
    </x:row>
    <x:row r="183">
      <x:c r="A183" s="2" t="str">
        <x:v>BV1-182</x:v>
      </x:c>
      <x:c r="B183" s="7" t="str">
        <x:v>NTL applications and modeling</x:v>
      </x:c>
      <x:c r="C183" s="7" t="str">
        <x:v>Fit a one-variable OLS model from the supplied Beijing training table, predict the held-out rows, and report slope, intercept, predictions, mean absolute error, and root mean squared error.</x:v>
      </x:c>
      <x:c r="D183" s="2" t="str">
        <x:v>Pass</x:v>
      </x:c>
      <x:c r="E183" s="2" t="str">
        <x:v>Pass</x:v>
      </x:c>
      <x:c r="F183" s="7" t="str">
        <x:v>final-record-20260817</x:v>
      </x:c>
      <x:c r="G183" s="8" t="n">
        <x:v>18</x:v>
      </x:c>
      <x:c r="H183" s="8" t="n">
        <x:v>7</x:v>
      </x:c>
      <x:c r="I183" s="9" t="n">
        <x:v>474932</x:v>
      </x:c>
      <x:c r="J183" s="9" t="n">
        <x:v>294304</x:v>
      </x:c>
      <x:c r="K183" s="8" t="n">
        <x:v>28</x:v>
      </x:c>
      <x:c r="L183" s="8" t="n">
        <x:v>9</x:v>
      </x:c>
      <x:c r="M183" s="10" t="n">
        <x:v>134.67117240000061</x:v>
      </x:c>
      <x:c r="N183" s="10" t="n">
        <x:v>60.14371510000092</x:v>
      </x:c>
      <x:c r="O183" s="7" t="str"/>
      <x:c r="P183" s="7" t="str"/>
    </x:row>
    <x:row r="184">
      <x:c r="A184" s="2" t="str">
        <x:v>BV1-183</x:v>
      </x:c>
      <x:c r="B184" s="7" t="str">
        <x:v>NTL applications and modeling</x:v>
      </x:c>
      <x:c r="C184" s="7" t="str">
        <x:v>Fit a one-variable OLS model from the supplied Guangzhou training table, predict the held-out rows, and report slope, intercept, predictions, mean absolute error, and root mean squared error.</x:v>
      </x:c>
      <x:c r="D184" s="2" t="str">
        <x:v>Pass</x:v>
      </x:c>
      <x:c r="E184" s="2" t="str">
        <x:v>Pass</x:v>
      </x:c>
      <x:c r="F184" s="7" t="str">
        <x:v>final-record-20260817</x:v>
      </x:c>
      <x:c r="G184" s="8" t="n">
        <x:v>11</x:v>
      </x:c>
      <x:c r="H184" s="8" t="n">
        <x:v>10</x:v>
      </x:c>
      <x:c r="I184" s="9" t="n">
        <x:v>213799</x:v>
      </x:c>
      <x:c r="J184" s="9" t="n">
        <x:v>466699</x:v>
      </x:c>
      <x:c r="K184" s="8" t="n">
        <x:v>14</x:v>
      </x:c>
      <x:c r="L184" s="8" t="n">
        <x:v>13</x:v>
      </x:c>
      <x:c r="M184" s="10" t="n">
        <x:v>68.83560370000032</x:v>
      </x:c>
      <x:c r="N184" s="10" t="n">
        <x:v>137.25374340000053</x:v>
      </x:c>
      <x:c r="O184" s="7" t="str"/>
      <x:c r="P184" s="7" t="str"/>
    </x:row>
    <x:row r="185">
      <x:c r="A185" s="2" t="str">
        <x:v>BV1-184</x:v>
      </x:c>
      <x:c r="B185" s="7" t="str">
        <x:v>NTL applications and modeling</x:v>
      </x:c>
      <x:c r="C185" s="7" t="str">
        <x:v>Fit a one-variable OLS model from the supplied Chengdu training table, predict the held-out rows, and report slope, intercept, predictions, mean absolute error, and root mean squared error.</x:v>
      </x:c>
      <x:c r="D185" s="2" t="str">
        <x:v>Pass</x:v>
      </x:c>
      <x:c r="E185" s="2" t="str">
        <x:v>Pass</x:v>
      </x:c>
      <x:c r="F185" s="7" t="str">
        <x:v>final-record-20260817</x:v>
      </x:c>
      <x:c r="G185" s="8" t="n">
        <x:v>11</x:v>
      </x:c>
      <x:c r="H185" s="8" t="n">
        <x:v>9</x:v>
      </x:c>
      <x:c r="I185" s="9" t="n">
        <x:v>195298</x:v>
      </x:c>
      <x:c r="J185" s="9" t="n">
        <x:v>408638</x:v>
      </x:c>
      <x:c r="K185" s="8" t="n">
        <x:v>14</x:v>
      </x:c>
      <x:c r="L185" s="8" t="n">
        <x:v>11</x:v>
      </x:c>
      <x:c r="M185" s="10" t="n">
        <x:v>69.82957820000047</x:v>
      </x:c>
      <x:c r="N185" s="10" t="n">
        <x:v>98.87501449999945</x:v>
      </x:c>
      <x:c r="O185" s="7" t="str"/>
      <x:c r="P185" s="7" t="str"/>
    </x:row>
    <x:row r="186">
      <x:c r="A186" s="2" t="str">
        <x:v>BV1-185</x:v>
      </x:c>
      <x:c r="B186" s="7" t="str">
        <x:v>NTL applications and modeling</x:v>
      </x:c>
      <x:c r="C186" s="7" t="str">
        <x:v>Fit a one-variable OLS model from the supplied Wuhan training table, predict the held-out rows, and report slope, intercept, predictions, mean absolute error, and root mean squared error.</x:v>
      </x:c>
      <x:c r="D186" s="2" t="str">
        <x:v>Pass</x:v>
      </x:c>
      <x:c r="E186" s="2" t="str">
        <x:v>Pass</x:v>
      </x:c>
      <x:c r="F186" s="7" t="str">
        <x:v>final-record-20260817</x:v>
      </x:c>
      <x:c r="G186" s="8" t="n">
        <x:v>9</x:v>
      </x:c>
      <x:c r="H186" s="8" t="n">
        <x:v>6</x:v>
      </x:c>
      <x:c r="I186" s="9" t="n">
        <x:v>160221</x:v>
      </x:c>
      <x:c r="J186" s="9" t="n">
        <x:v>239424</x:v>
      </x:c>
      <x:c r="K186" s="8" t="n">
        <x:v>9</x:v>
      </x:c>
      <x:c r="L186" s="8" t="n">
        <x:v>7</x:v>
      </x:c>
      <x:c r="M186" s="10" t="n">
        <x:v>56.546172500000466</x:v>
      </x:c>
      <x:c r="N186" s="10" t="n">
        <x:v>42.61533039999995</x:v>
      </x:c>
      <x:c r="O186" s="7" t="str"/>
      <x:c r="P186" s="7" t="str"/>
    </x:row>
    <x:row r="187">
      <x:c r="A187" s="2" t="str">
        <x:v>BV1-186</x:v>
      </x:c>
      <x:c r="B187" s="7" t="str">
        <x:v>NTL applications and modeling</x:v>
      </x:c>
      <x:c r="C187" s="7" t="str">
        <x:v>Calculate TNTL per capita for every supplied region in group_1, rank regions from highest to lowest with region code as the tie-breaker, and report the top region.</x:v>
      </x:c>
      <x:c r="D187" s="2" t="str">
        <x:v>Pass</x:v>
      </x:c>
      <x:c r="E187" s="2" t="str">
        <x:v>Pass</x:v>
      </x:c>
      <x:c r="F187" s="7" t="str">
        <x:v>final-record-20260817</x:v>
      </x:c>
      <x:c r="G187" s="8" t="n">
        <x:v>11</x:v>
      </x:c>
      <x:c r="H187" s="8" t="n">
        <x:v>9</x:v>
      </x:c>
      <x:c r="I187" s="9" t="n">
        <x:v>221022</x:v>
      </x:c>
      <x:c r="J187" s="9" t="n">
        <x:v>372799</x:v>
      </x:c>
      <x:c r="K187" s="8" t="n">
        <x:v>16</x:v>
      </x:c>
      <x:c r="L187" s="8" t="n">
        <x:v>10</x:v>
      </x:c>
      <x:c r="M187" s="10" t="n">
        <x:v>88.7274668</x:v>
      </x:c>
      <x:c r="N187" s="10" t="n">
        <x:v>53.73156559999916</x:v>
      </x:c>
      <x:c r="O187" s="7" t="str"/>
      <x:c r="P187" s="7" t="str"/>
    </x:row>
    <x:row r="188">
      <x:c r="A188" s="2" t="str">
        <x:v>BV1-187</x:v>
      </x:c>
      <x:c r="B188" s="7" t="str">
        <x:v>NTL applications and modeling</x:v>
      </x:c>
      <x:c r="C188" s="7" t="str">
        <x:v>Calculate TNTL per capita for every supplied region in group_2, rank regions from highest to lowest with region code as the tie-breaker, and report the top region.</x:v>
      </x:c>
      <x:c r="D188" s="2" t="str">
        <x:v>Pass</x:v>
      </x:c>
      <x:c r="E188" s="2" t="str">
        <x:v>Pass</x:v>
      </x:c>
      <x:c r="F188" s="7" t="str">
        <x:v>final-record-20260817</x:v>
      </x:c>
      <x:c r="G188" s="8" t="n">
        <x:v>17</x:v>
      </x:c>
      <x:c r="H188" s="8" t="n">
        <x:v>8</x:v>
      </x:c>
      <x:c r="I188" s="9" t="n">
        <x:v>398754</x:v>
      </x:c>
      <x:c r="J188" s="9" t="n">
        <x:v>323800</x:v>
      </x:c>
      <x:c r="K188" s="8" t="n">
        <x:v>21</x:v>
      </x:c>
      <x:c r="L188" s="8" t="n">
        <x:v>9</x:v>
      </x:c>
      <x:c r="M188" s="10" t="n">
        <x:v>76.07820510000056</x:v>
      </x:c>
      <x:c r="N188" s="10" t="n">
        <x:v>44.558676800001194</x:v>
      </x:c>
      <x:c r="O188" s="7" t="str"/>
      <x:c r="P188" s="7" t="str"/>
    </x:row>
    <x:row r="189">
      <x:c r="A189" s="2" t="str">
        <x:v>BV1-188</x:v>
      </x:c>
      <x:c r="B189" s="7" t="str">
        <x:v>NTL applications and modeling</x:v>
      </x:c>
      <x:c r="C189" s="7" t="str">
        <x:v>Calculate TNTL per capita for every supplied region in group_3, rank regions from highest to lowest with region code as the tie-breaker, and report the top region.</x:v>
      </x:c>
      <x:c r="D189" s="2" t="str">
        <x:v>Pass</x:v>
      </x:c>
      <x:c r="E189" s="2" t="str">
        <x:v>Pass</x:v>
      </x:c>
      <x:c r="F189" s="7" t="str">
        <x:v>final-record-20260817</x:v>
      </x:c>
      <x:c r="G189" s="8" t="n">
        <x:v>13</x:v>
      </x:c>
      <x:c r="H189" s="8" t="n">
        <x:v>12</x:v>
      </x:c>
      <x:c r="I189" s="9" t="n">
        <x:v>246864</x:v>
      </x:c>
      <x:c r="J189" s="9" t="n">
        <x:v>579411</x:v>
      </x:c>
      <x:c r="K189" s="8" t="n">
        <x:v>17</x:v>
      </x:c>
      <x:c r="L189" s="8" t="n">
        <x:v>15</x:v>
      </x:c>
      <x:c r="M189" s="10" t="n">
        <x:v>60.46293030000015</x:v>
      </x:c>
      <x:c r="N189" s="10" t="n">
        <x:v>135.19873919999918</x:v>
      </x:c>
      <x:c r="O189" s="7" t="str"/>
      <x:c r="P189" s="7" t="str"/>
    </x:row>
    <x:row r="190">
      <x:c r="A190" s="2" t="str">
        <x:v>BV1-189</x:v>
      </x:c>
      <x:c r="B190" s="7" t="str">
        <x:v>NTL applications and modeling</x:v>
      </x:c>
      <x:c r="C190" s="7" t="str">
        <x:v>Calculate TNTL per capita for every supplied region in group_4, rank regions from highest to lowest with region code as the tie-breaker, and report the top region.</x:v>
      </x:c>
      <x:c r="D190" s="2" t="str">
        <x:v>Pass</x:v>
      </x:c>
      <x:c r="E190" s="2" t="str">
        <x:v>Pass</x:v>
      </x:c>
      <x:c r="F190" s="7" t="str">
        <x:v>final-record-20260817</x:v>
      </x:c>
      <x:c r="G190" s="8" t="n">
        <x:v>11</x:v>
      </x:c>
      <x:c r="H190" s="8" t="n">
        <x:v>10</x:v>
      </x:c>
      <x:c r="I190" s="9" t="n">
        <x:v>197435</x:v>
      </x:c>
      <x:c r="J190" s="9" t="n">
        <x:v>422247</x:v>
      </x:c>
      <x:c r="K190" s="8" t="n">
        <x:v>15</x:v>
      </x:c>
      <x:c r="L190" s="8" t="n">
        <x:v>11</x:v>
      </x:c>
      <x:c r="M190" s="10" t="n">
        <x:v>65.82711899999958</x:v>
      </x:c>
      <x:c r="N190" s="10" t="n">
        <x:v>45.61970139999903</x:v>
      </x:c>
      <x:c r="O190" s="7" t="str"/>
      <x:c r="P190" s="7" t="str"/>
    </x:row>
    <x:row r="191">
      <x:c r="A191" s="2" t="str">
        <x:v>BV1-190</x:v>
      </x:c>
      <x:c r="B191" s="7" t="str">
        <x:v>NTL applications and modeling</x:v>
      </x:c>
      <x:c r="C191" s="7" t="str">
        <x:v>Calculate TNTL per capita for every supplied region in group_5, rank regions from highest to lowest with region code as the tie-breaker, and report the top region.</x:v>
      </x:c>
      <x:c r="D191" s="2" t="str">
        <x:v>Pass</x:v>
      </x:c>
      <x:c r="E191" s="2" t="str">
        <x:v>Pass</x:v>
      </x:c>
      <x:c r="F191" s="7" t="str">
        <x:v>final-record-20260817</x:v>
      </x:c>
      <x:c r="G191" s="8" t="n">
        <x:v>12</x:v>
      </x:c>
      <x:c r="H191" s="8" t="n">
        <x:v>7</x:v>
      </x:c>
      <x:c r="I191" s="9" t="n">
        <x:v>213243</x:v>
      </x:c>
      <x:c r="J191" s="9" t="n">
        <x:v>289695</x:v>
      </x:c>
      <x:c r="K191" s="8" t="n">
        <x:v>14</x:v>
      </x:c>
      <x:c r="L191" s="8" t="n">
        <x:v>10</x:v>
      </x:c>
      <x:c r="M191" s="10" t="n">
        <x:v>57.72991069999989</x:v>
      </x:c>
      <x:c r="N191" s="10" t="n">
        <x:v>48.88869420000083</x:v>
      </x:c>
      <x:c r="O191" s="7" t="str"/>
      <x:c r="P191" s="7" t="str"/>
    </x:row>
    <x:row r="192">
      <x:c r="A192" s="2" t="str">
        <x:v>BV1-191</x:v>
      </x:c>
      <x:c r="B192" s="7" t="str">
        <x:v>NTL applications and modeling</x:v>
      </x:c>
      <x:c r="C192" s="7" t="str">
        <x:v>Classify each supplied Shanghai pixel as persistent when its lit-year count meets the stated minimum, and report each count, class, and the total persistent-pixel count.</x:v>
      </x:c>
      <x:c r="D192" s="2" t="str">
        <x:v>Pass</x:v>
      </x:c>
      <x:c r="E192" s="2" t="str">
        <x:v>Pass</x:v>
      </x:c>
      <x:c r="F192" s="7" t="str">
        <x:v>final-record-20260817</x:v>
      </x:c>
      <x:c r="G192" s="8" t="n">
        <x:v>16</x:v>
      </x:c>
      <x:c r="H192" s="8" t="n">
        <x:v>9</x:v>
      </x:c>
      <x:c r="I192" s="9" t="n">
        <x:v>329311</x:v>
      </x:c>
      <x:c r="J192" s="9" t="n">
        <x:v>378364</x:v>
      </x:c>
      <x:c r="K192" s="8" t="n">
        <x:v>24</x:v>
      </x:c>
      <x:c r="L192" s="8" t="n">
        <x:v>11</x:v>
      </x:c>
      <x:c r="M192" s="10" t="n">
        <x:v>134.28651480000008</x:v>
      </x:c>
      <x:c r="N192" s="10" t="n">
        <x:v>57.390254200001436</x:v>
      </x:c>
      <x:c r="O192" s="7" t="str"/>
      <x:c r="P192" s="7" t="str"/>
    </x:row>
    <x:row r="193">
      <x:c r="A193" s="2" t="str">
        <x:v>BV1-192</x:v>
      </x:c>
      <x:c r="B193" s="7" t="str">
        <x:v>NTL applications and modeling</x:v>
      </x:c>
      <x:c r="C193" s="7" t="str">
        <x:v>Classify each supplied Beijing pixel as persistent when its lit-year count meets the stated minimum, and report each count, class, and the total persistent-pixel count.</x:v>
      </x:c>
      <x:c r="D193" s="2" t="str">
        <x:v>Pass</x:v>
      </x:c>
      <x:c r="E193" s="2" t="str">
        <x:v>Pass</x:v>
      </x:c>
      <x:c r="F193" s="7" t="str">
        <x:v>final-record-20260817</x:v>
      </x:c>
      <x:c r="G193" s="8" t="n">
        <x:v>9</x:v>
      </x:c>
      <x:c r="H193" s="8" t="n">
        <x:v>9</x:v>
      </x:c>
      <x:c r="I193" s="9" t="n">
        <x:v>148552</x:v>
      </x:c>
      <x:c r="J193" s="9" t="n">
        <x:v>370991</x:v>
      </x:c>
      <x:c r="K193" s="8" t="n">
        <x:v>12</x:v>
      </x:c>
      <x:c r="L193" s="8" t="n">
        <x:v>11</x:v>
      </x:c>
      <x:c r="M193" s="10" t="n">
        <x:v>72.54567109999971</x:v>
      </x:c>
      <x:c r="N193" s="10" t="n">
        <x:v>53.69899780000014</x:v>
      </x:c>
      <x:c r="O193" s="7" t="str"/>
      <x:c r="P193" s="7" t="str"/>
    </x:row>
    <x:row r="194">
      <x:c r="A194" s="2" t="str">
        <x:v>BV1-193</x:v>
      </x:c>
      <x:c r="B194" s="7" t="str">
        <x:v>NTL applications and modeling</x:v>
      </x:c>
      <x:c r="C194" s="7" t="str">
        <x:v>Classify each supplied Guangzhou pixel as persistent when its lit-year count meets the stated minimum, and report each count, class, and the total persistent-pixel count.</x:v>
      </x:c>
      <x:c r="D194" s="2" t="str">
        <x:v>Pass</x:v>
      </x:c>
      <x:c r="E194" s="2" t="str">
        <x:v>Pass</x:v>
      </x:c>
      <x:c r="F194" s="7" t="str">
        <x:v>final-record-20260817</x:v>
      </x:c>
      <x:c r="G194" s="8" t="n">
        <x:v>14</x:v>
      </x:c>
      <x:c r="H194" s="8" t="n">
        <x:v>15</x:v>
      </x:c>
      <x:c r="I194" s="9" t="n">
        <x:v>248311</x:v>
      </x:c>
      <x:c r="J194" s="9" t="n">
        <x:v>750245</x:v>
      </x:c>
      <x:c r="K194" s="8" t="n">
        <x:v>16</x:v>
      </x:c>
      <x:c r="L194" s="8" t="n">
        <x:v>23</x:v>
      </x:c>
      <x:c r="M194" s="10" t="n">
        <x:v>86.8203042999994</x:v>
      </x:c>
      <x:c r="N194" s="10" t="n">
        <x:v>127.05460270000003</x:v>
      </x:c>
      <x:c r="O194" s="7" t="str"/>
      <x:c r="P194" s="7" t="str"/>
    </x:row>
    <x:row r="195">
      <x:c r="A195" s="2" t="str">
        <x:v>BV1-194</x:v>
      </x:c>
      <x:c r="B195" s="7" t="str">
        <x:v>NTL applications and modeling</x:v>
      </x:c>
      <x:c r="C195" s="7" t="str">
        <x:v>Classify each supplied Chengdu pixel as persistent when its lit-year count meets the stated minimum, and report each count, class, and the total persistent-pixel count.</x:v>
      </x:c>
      <x:c r="D195" s="2" t="str">
        <x:v>Pass</x:v>
      </x:c>
      <x:c r="E195" s="2" t="str">
        <x:v>Pass</x:v>
      </x:c>
      <x:c r="F195" s="7" t="str">
        <x:v>final-record-20260817</x:v>
      </x:c>
      <x:c r="G195" s="8" t="n">
        <x:v>11</x:v>
      </x:c>
      <x:c r="H195" s="8" t="n">
        <x:v>8</x:v>
      </x:c>
      <x:c r="I195" s="9" t="n">
        <x:v>206699</x:v>
      </x:c>
      <x:c r="J195" s="9" t="n">
        <x:v>331307</x:v>
      </x:c>
      <x:c r="K195" s="8" t="n">
        <x:v>14</x:v>
      </x:c>
      <x:c r="L195" s="8" t="n">
        <x:v>10</x:v>
      </x:c>
      <x:c r="M195" s="10" t="n">
        <x:v>80.43778079999993</x:v>
      </x:c>
      <x:c r="N195" s="10" t="n">
        <x:v>55.40251179999905</x:v>
      </x:c>
      <x:c r="O195" s="7" t="str"/>
      <x:c r="P195" s="7" t="str"/>
    </x:row>
    <x:row r="196">
      <x:c r="A196" s="2" t="str">
        <x:v>BV1-195</x:v>
      </x:c>
      <x:c r="B196" s="7" t="str">
        <x:v>NTL applications and modeling</x:v>
      </x:c>
      <x:c r="C196" s="7" t="str">
        <x:v>Classify each supplied Wuhan pixel as persistent when its lit-year count meets the stated minimum, and report each count, class, and the total persistent-pixel count.</x:v>
      </x:c>
      <x:c r="D196" s="2" t="str">
        <x:v>Pass</x:v>
      </x:c>
      <x:c r="E196" s="2" t="str">
        <x:v>Pass</x:v>
      </x:c>
      <x:c r="F196" s="7" t="str">
        <x:v>final-record-20260817</x:v>
      </x:c>
      <x:c r="G196" s="8" t="n">
        <x:v>11</x:v>
      </x:c>
      <x:c r="H196" s="8" t="n">
        <x:v>10</x:v>
      </x:c>
      <x:c r="I196" s="9" t="n">
        <x:v>186516</x:v>
      </x:c>
      <x:c r="J196" s="9" t="n">
        <x:v>426823</x:v>
      </x:c>
      <x:c r="K196" s="8" t="n">
        <x:v>14</x:v>
      </x:c>
      <x:c r="L196" s="8" t="n">
        <x:v>11</x:v>
      </x:c>
      <x:c r="M196" s="10" t="n">
        <x:v>91.65252819999932</x:v>
      </x:c>
      <x:c r="N196" s="10" t="n">
        <x:v>50.858025700001235</x:v>
      </x:c>
      <x:c r="O196" s="7" t="str"/>
      <x:c r="P196" s="7" t="str"/>
    </x:row>
    <x:row r="197">
      <x:c r="A197" s="2" t="str">
        <x:v>BV1-196</x:v>
      </x:c>
      <x:c r="B197" s="7" t="str">
        <x:v>NTL applications and modeling</x:v>
      </x:c>
      <x:c r="C197" s="7" t="str">
        <x:v>Apply the stated fixed radiance threshold to the supplied Shanghai cells and calculate the population-weighted proxy electrified share; list the cells counted as electrified.</x:v>
      </x:c>
      <x:c r="D197" s="2" t="str">
        <x:v>Pass</x:v>
      </x:c>
      <x:c r="E197" s="2" t="str">
        <x:v>Pass</x:v>
      </x:c>
      <x:c r="F197" s="7" t="str">
        <x:v>final-record-20260817</x:v>
      </x:c>
      <x:c r="G197" s="8" t="n">
        <x:v>12</x:v>
      </x:c>
      <x:c r="H197" s="8" t="n">
        <x:v>13</x:v>
      </x:c>
      <x:c r="I197" s="9" t="n">
        <x:v>249544</x:v>
      </x:c>
      <x:c r="J197" s="9" t="n">
        <x:v>721941</x:v>
      </x:c>
      <x:c r="K197" s="8" t="n">
        <x:v>12</x:v>
      </x:c>
      <x:c r="L197" s="8" t="n">
        <x:v>22</x:v>
      </x:c>
      <x:c r="M197" s="10" t="n">
        <x:v>75.55067299999973</x:v>
      </x:c>
      <x:c r="N197" s="10" t="n">
        <x:v>213.55069360000016</x:v>
      </x:c>
      <x:c r="O197" s="7" t="str"/>
      <x:c r="P197" s="7" t="str"/>
    </x:row>
    <x:row r="198">
      <x:c r="A198" s="2" t="str">
        <x:v>BV1-197</x:v>
      </x:c>
      <x:c r="B198" s="7" t="str">
        <x:v>NTL applications and modeling</x:v>
      </x:c>
      <x:c r="C198" s="7" t="str">
        <x:v>Apply the stated fixed radiance threshold to the supplied Beijing cells and calculate the population-weighted proxy electrified share; list the cells counted as electrified.</x:v>
      </x:c>
      <x:c r="D198" s="2" t="str">
        <x:v>Pass</x:v>
      </x:c>
      <x:c r="E198" s="2" t="str">
        <x:v>Pass</x:v>
      </x:c>
      <x:c r="F198" s="7" t="str">
        <x:v>final-record-20260817</x:v>
      </x:c>
      <x:c r="G198" s="8" t="n">
        <x:v>9</x:v>
      </x:c>
      <x:c r="H198" s="8" t="n">
        <x:v>7</x:v>
      </x:c>
      <x:c r="I198" s="9" t="n">
        <x:v>159657</x:v>
      </x:c>
      <x:c r="J198" s="9" t="n">
        <x:v>295935</x:v>
      </x:c>
      <x:c r="K198" s="8" t="n">
        <x:v>11</x:v>
      </x:c>
      <x:c r="L198" s="8" t="n">
        <x:v>10</x:v>
      </x:c>
      <x:c r="M198" s="10" t="n">
        <x:v>70.94576039999993</x:v>
      </x:c>
      <x:c r="N198" s="10" t="n">
        <x:v>63.63313900000139</x:v>
      </x:c>
      <x:c r="O198" s="7" t="str"/>
      <x:c r="P198" s="7" t="str"/>
    </x:row>
    <x:row r="199">
      <x:c r="A199" s="2" t="str">
        <x:v>BV1-198</x:v>
      </x:c>
      <x:c r="B199" s="7" t="str">
        <x:v>NTL applications and modeling</x:v>
      </x:c>
      <x:c r="C199" s="7" t="str">
        <x:v>Apply the stated fixed radiance threshold to the supplied Guangzhou cells and calculate the population-weighted proxy electrified share; list the cells counted as electrified.</x:v>
      </x:c>
      <x:c r="D199" s="2" t="str">
        <x:v>Pass</x:v>
      </x:c>
      <x:c r="E199" s="2" t="str">
        <x:v>Pass</x:v>
      </x:c>
      <x:c r="F199" s="7" t="str">
        <x:v>final-record-20260817</x:v>
      </x:c>
      <x:c r="G199" s="8" t="n">
        <x:v>12</x:v>
      </x:c>
      <x:c r="H199" s="8" t="n">
        <x:v>9</x:v>
      </x:c>
      <x:c r="I199" s="9" t="n">
        <x:v>263231</x:v>
      </x:c>
      <x:c r="J199" s="9" t="n">
        <x:v>373985</x:v>
      </x:c>
      <x:c r="K199" s="8" t="n">
        <x:v>20</x:v>
      </x:c>
      <x:c r="L199" s="8" t="n">
        <x:v>11</x:v>
      </x:c>
      <x:c r="M199" s="10" t="n">
        <x:v>118.44444010000007</x:v>
      </x:c>
      <x:c r="N199" s="10" t="n">
        <x:v>51.80897340000047</x:v>
      </x:c>
      <x:c r="O199" s="7" t="str"/>
      <x:c r="P199" s="7" t="str"/>
    </x:row>
    <x:row r="200">
      <x:c r="A200" s="2" t="str">
        <x:v>BV1-199</x:v>
      </x:c>
      <x:c r="B200" s="7" t="str">
        <x:v>NTL applications and modeling</x:v>
      </x:c>
      <x:c r="C200" s="7" t="str">
        <x:v>Apply the stated fixed radiance threshold to the supplied Chengdu cells and calculate the population-weighted proxy electrified share; list the cells counted as electrified.</x:v>
      </x:c>
      <x:c r="D200" s="2" t="str">
        <x:v>Pass</x:v>
      </x:c>
      <x:c r="E200" s="2" t="str">
        <x:v>Pass</x:v>
      </x:c>
      <x:c r="F200" s="7" t="str">
        <x:v>final-record-20260817</x:v>
      </x:c>
      <x:c r="G200" s="8" t="n">
        <x:v>12</x:v>
      </x:c>
      <x:c r="H200" s="8" t="n">
        <x:v>11</x:v>
      </x:c>
      <x:c r="I200" s="9" t="n">
        <x:v>211152</x:v>
      </x:c>
      <x:c r="J200" s="9" t="n">
        <x:v>486532</x:v>
      </x:c>
      <x:c r="K200" s="8" t="n">
        <x:v>14</x:v>
      </x:c>
      <x:c r="L200" s="8" t="n">
        <x:v>15</x:v>
      </x:c>
      <x:c r="M200" s="10" t="n">
        <x:v>59.76489710000078</x:v>
      </x:c>
      <x:c r="N200" s="10" t="n">
        <x:v>86.9174638000004</x:v>
      </x:c>
      <x:c r="O200" s="7" t="str"/>
      <x:c r="P200" s="7" t="str"/>
    </x:row>
    <x:row r="201">
      <x:c r="A201" s="2" t="str">
        <x:v>BV1-200</x:v>
      </x:c>
      <x:c r="B201" s="7" t="str">
        <x:v>NTL applications and modeling</x:v>
      </x:c>
      <x:c r="C201" s="7" t="str">
        <x:v>Apply the stated fixed radiance threshold to the supplied Wuhan cells and calculate the population-weighted proxy electrified share; list the cells counted as electrified.</x:v>
      </x:c>
      <x:c r="D201" s="2" t="str">
        <x:v>Pass</x:v>
      </x:c>
      <x:c r="E201" s="2" t="str">
        <x:v>Pass</x:v>
      </x:c>
      <x:c r="F201" s="7" t="str">
        <x:v>final-record-20260817</x:v>
      </x:c>
      <x:c r="G201" s="8" t="n">
        <x:v>13</x:v>
      </x:c>
      <x:c r="H201" s="8" t="n">
        <x:v>10</x:v>
      </x:c>
      <x:c r="I201" s="9" t="n">
        <x:v>232435</x:v>
      </x:c>
      <x:c r="J201" s="9" t="n">
        <x:v>482444</x:v>
      </x:c>
      <x:c r="K201" s="8" t="n">
        <x:v>17</x:v>
      </x:c>
      <x:c r="L201" s="8" t="n">
        <x:v>16</x:v>
      </x:c>
      <x:c r="M201" s="10" t="n">
        <x:v>81.96447489999991</x:v>
      </x:c>
      <x:c r="N201" s="10" t="n">
        <x:v>129.13588999999956</x:v>
      </x:c>
      <x:c r="O201" s="7" t="str"/>
      <x:c r="P201" s="7" t="str"/>
    </x:row>
  </x:sheetData>
  <x:conditionalFormatting sqref="D2:D201">
    <x:cfRule type="containsText" dxfId="0" priority="1" operator="containsText" text="Pass"/>
    <x:cfRule type="containsText" dxfId="1" priority="2" operator="containsText" text="Fail"/>
  </x:conditionalFormatting>
  <x:conditionalFormatting sqref="E2:E201">
    <x:cfRule type="containsText" dxfId="2" priority="3" operator="containsText" text="Pass"/>
    <x:cfRule type="containsText" dxfId="3" priority="4" operator="containsText" text="Fail"/>
  </x:conditionalFormatting>
  <x:pageMargins left="0.7" right="0.7" top="0.75" bottom="0.75" header="0.3" footer="0.3"/>
  <x:tableParts count="1">
    <x:tablePart xmlns:r="http://schemas.openxmlformats.org/officeDocument/2006/relationships" r:id="R9a924a36fe864f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6.25" hidden="0" customWidth="1"/>
    <x:col min="2" max="2" width="16.25" hidden="0" customWidth="1"/>
    <x:col min="3" max="3" width="9.380000114440918" hidden="0" customWidth="1"/>
    <x:col min="4" max="4" width="13.130000114440918" hidden="0" customWidth="1"/>
    <x:col min="5" max="5" width="11.25" hidden="0" customWidth="1"/>
    <x:col min="6" max="6" width="14.380000114440918" hidden="0" customWidth="1"/>
    <x:col min="7" max="7" width="14.380000114440918" hidden="0" customWidth="1"/>
    <x:col min="8" max="8" width="18.1299991607666" hidden="0" customWidth="1"/>
    <x:col min="9" max="9" width="16.25" hidden="0" customWidth="1"/>
    <x:col min="10" max="10" width="15" hidden="0" customWidth="1"/>
    <x:col min="11" max="11" width="15" hidden="0" customWidth="1"/>
    <x:col min="12" max="12" width="17.5" hidden="0" customWidth="1"/>
    <x:col min="13" max="13" width="17.5" hidden="0" customWidth="1"/>
  </x:cols>
  <x:sheetData>
    <x:row r="1" ht="27" customHeight="1">
      <x:c r="A1" s="6" t="str">
        <x:v>Category</x:v>
      </x:c>
      <x:c r="B1" s="6" t="str">
        <x:v>System</x:v>
      </x:c>
      <x:c r="C1" s="6" t="str">
        <x:v>Tasks</x:v>
      </x:c>
      <x:c r="D1" s="6" t="str">
        <x:v>Science passes</x:v>
      </x:c>
      <x:c r="E1" s="6" t="str">
        <x:v>Accuracy</x:v>
      </x:c>
      <x:c r="F1" s="6" t="str">
        <x:v>Total LLM calls</x:v>
      </x:c>
      <x:c r="G1" s="6" t="str">
        <x:v>Mean LLM calls</x:v>
      </x:c>
      <x:c r="H1" s="6" t="str">
        <x:v>Total tokens</x:v>
      </x:c>
      <x:c r="I1" s="6" t="str">
        <x:v>Mean tokens</x:v>
      </x:c>
      <x:c r="J1" s="6" t="str">
        <x:v>Total Tool calls</x:v>
      </x:c>
      <x:c r="K1" s="6" t="str">
        <x:v>Mean Tool calls</x:v>
      </x:c>
      <x:c r="L1" s="6" t="str">
        <x:v>Total wall time (s)</x:v>
      </x:c>
      <x:c r="M1" s="6" t="str">
        <x:v>Mean wall time (s)</x:v>
      </x:c>
    </x:row>
    <x:row r="2">
      <x:c r="A2" s="7" t="str">
        <x:v>NTL data retrieval and preprocessing</x:v>
      </x:c>
      <x:c r="B2" s="2" t="str">
        <x:v>NTL-GPT Full</x:v>
      </x:c>
      <x:c r="C2" s="8" t="n">
        <x:v>80</x:v>
      </x:c>
      <x:c r="D2" s="8" t="n">
        <x:v>72</x:v>
      </x:c>
      <x:c r="E2" s="11" t="n">
        <x:v>0.9</x:v>
      </x:c>
      <x:c r="F2" s="9" t="n">
        <x:v>1110</x:v>
      </x:c>
      <x:c r="G2" s="12" t="n">
        <x:v>13.875</x:v>
      </x:c>
      <x:c r="H2" s="9" t="n">
        <x:v>34026574</x:v>
      </x:c>
      <x:c r="I2" s="9" t="n">
        <x:v>425332.175</x:v>
      </x:c>
      <x:c r="J2" s="9" t="n">
        <x:v>1695</x:v>
      </x:c>
      <x:c r="K2" s="12" t="n">
        <x:v>21.1875</x:v>
      </x:c>
      <x:c r="L2" s="13" t="n">
        <x:v>14807.357500700004</x:v>
      </x:c>
      <x:c r="M2" s="10" t="n">
        <x:v>185.09196875875006</x:v>
      </x:c>
    </x:row>
    <x:row r="3">
      <x:c r="A3" s="7" t="str">
        <x:v>NTL data retrieval and preprocessing</x:v>
      </x:c>
      <x:c r="B3" s="2" t="str">
        <x:v>Single-Agent</x:v>
      </x:c>
      <x:c r="C3" s="8" t="n">
        <x:v>80</x:v>
      </x:c>
      <x:c r="D3" s="8" t="n">
        <x:v>68</x:v>
      </x:c>
      <x:c r="E3" s="11" t="n">
        <x:v>0.85</x:v>
      </x:c>
      <x:c r="F3" s="9" t="n">
        <x:v>882</x:v>
      </x:c>
      <x:c r="G3" s="12" t="n">
        <x:v>11.025</x:v>
      </x:c>
      <x:c r="H3" s="9" t="n">
        <x:v>55296544</x:v>
      </x:c>
      <x:c r="I3" s="9" t="n">
        <x:v>691206.8</x:v>
      </x:c>
      <x:c r="J3" s="9" t="n">
        <x:v>1206</x:v>
      </x:c>
      <x:c r="K3" s="12" t="n">
        <x:v>15.075</x:v>
      </x:c>
      <x:c r="L3" s="13" t="n">
        <x:v>12461.07209890002</x:v>
      </x:c>
      <x:c r="M3" s="10" t="n">
        <x:v>155.76340123625025</x:v>
      </x:c>
    </x:row>
    <x:row r="4">
      <x:c r="A4" s="7" t="str">
        <x:v>NTL spatiotemporal analysis and querying</x:v>
      </x:c>
      <x:c r="B4" s="2" t="str">
        <x:v>NTL-GPT Full</x:v>
      </x:c>
      <x:c r="C4" s="8" t="n">
        <x:v>80</x:v>
      </x:c>
      <x:c r="D4" s="8" t="n">
        <x:v>70</x:v>
      </x:c>
      <x:c r="E4" s="11" t="n">
        <x:v>0.875</x:v>
      </x:c>
      <x:c r="F4" s="9" t="n">
        <x:v>1604</x:v>
      </x:c>
      <x:c r="G4" s="12" t="n">
        <x:v>20.05</x:v>
      </x:c>
      <x:c r="H4" s="9" t="n">
        <x:v>56353321</x:v>
      </x:c>
      <x:c r="I4" s="9" t="n">
        <x:v>704416.5125</x:v>
      </x:c>
      <x:c r="J4" s="9" t="n">
        <x:v>2358</x:v>
      </x:c>
      <x:c r="K4" s="12" t="n">
        <x:v>29.475</x:v>
      </x:c>
      <x:c r="L4" s="13" t="n">
        <x:v>21385.299455400003</x:v>
      </x:c>
      <x:c r="M4" s="10" t="n">
        <x:v>267.31624319250005</x:v>
      </x:c>
    </x:row>
    <x:row r="5">
      <x:c r="A5" s="7" t="str">
        <x:v>NTL spatiotemporal analysis and querying</x:v>
      </x:c>
      <x:c r="B5" s="2" t="str">
        <x:v>Single-Agent</x:v>
      </x:c>
      <x:c r="C5" s="8" t="n">
        <x:v>80</x:v>
      </x:c>
      <x:c r="D5" s="8" t="n">
        <x:v>68</x:v>
      </x:c>
      <x:c r="E5" s="11" t="n">
        <x:v>0.85</x:v>
      </x:c>
      <x:c r="F5" s="9" t="n">
        <x:v>1034</x:v>
      </x:c>
      <x:c r="G5" s="12" t="n">
        <x:v>12.925</x:v>
      </x:c>
      <x:c r="H5" s="9" t="n">
        <x:v>57160625</x:v>
      </x:c>
      <x:c r="I5" s="9" t="n">
        <x:v>714507.8125</x:v>
      </x:c>
      <x:c r="J5" s="9" t="n">
        <x:v>1448</x:v>
      </x:c>
      <x:c r="K5" s="12" t="n">
        <x:v>18.1</x:v>
      </x:c>
      <x:c r="L5" s="13" t="n">
        <x:v>13437.698040399997</x:v>
      </x:c>
      <x:c r="M5" s="10" t="n">
        <x:v>167.97122550499995</x:v>
      </x:c>
    </x:row>
    <x:row r="6">
      <x:c r="A6" s="7" t="str">
        <x:v>NTL applications and modeling</x:v>
      </x:c>
      <x:c r="B6" s="2" t="str">
        <x:v>NTL-GPT Full</x:v>
      </x:c>
      <x:c r="C6" s="8" t="n">
        <x:v>40</x:v>
      </x:c>
      <x:c r="D6" s="8" t="n">
        <x:v>34</x:v>
      </x:c>
      <x:c r="E6" s="11" t="n">
        <x:v>0.85</x:v>
      </x:c>
      <x:c r="F6" s="9" t="n">
        <x:v>981</x:v>
      </x:c>
      <x:c r="G6" s="12" t="n">
        <x:v>24.525</x:v>
      </x:c>
      <x:c r="H6" s="9" t="n">
        <x:v>37394464</x:v>
      </x:c>
      <x:c r="I6" s="9" t="n">
        <x:v>934861.6</x:v>
      </x:c>
      <x:c r="J6" s="9" t="n">
        <x:v>1636</x:v>
      </x:c>
      <x:c r="K6" s="12" t="n">
        <x:v>40.9</x:v>
      </x:c>
      <x:c r="L6" s="13" t="n">
        <x:v>15423.762391</x:v>
      </x:c>
      <x:c r="M6" s="10" t="n">
        <x:v>385.594059775</x:v>
      </x:c>
    </x:row>
    <x:row r="7">
      <x:c r="A7" s="7" t="str">
        <x:v>NTL applications and modeling</x:v>
      </x:c>
      <x:c r="B7" s="2" t="str">
        <x:v>Single-Agent</x:v>
      </x:c>
      <x:c r="C7" s="8" t="n">
        <x:v>40</x:v>
      </x:c>
      <x:c r="D7" s="8" t="n">
        <x:v>34</x:v>
      </x:c>
      <x:c r="E7" s="11" t="n">
        <x:v>0.85</x:v>
      </x:c>
      <x:c r="F7" s="9" t="n">
        <x:v>560</x:v>
      </x:c>
      <x:c r="G7" s="12" t="n">
        <x:v>14</x:v>
      </x:c>
      <x:c r="H7" s="9" t="n">
        <x:v>36922873</x:v>
      </x:c>
      <x:c r="I7" s="9" t="n">
        <x:v>923071.825</x:v>
      </x:c>
      <x:c r="J7" s="9" t="n">
        <x:v>879</x:v>
      </x:c>
      <x:c r="K7" s="12" t="n">
        <x:v>21.975</x:v>
      </x:c>
      <x:c r="L7" s="13" t="n">
        <x:v>9425.272484600006</x:v>
      </x:c>
      <x:c r="M7" s="10" t="n">
        <x:v>235.63181211500014</x:v>
      </x:c>
    </x:row>
    <x:row r="8">
      <x:c r="A8" s="7" t="str">
        <x:v>Overall</x:v>
      </x:c>
      <x:c r="B8" s="2" t="str">
        <x:v>NTL-GPT Full</x:v>
      </x:c>
      <x:c r="C8" s="8" t="n">
        <x:v>200</x:v>
      </x:c>
      <x:c r="D8" s="8" t="n">
        <x:v>176</x:v>
      </x:c>
      <x:c r="E8" s="11" t="n">
        <x:v>0.88</x:v>
      </x:c>
      <x:c r="F8" s="9" t="n">
        <x:v>3695</x:v>
      </x:c>
      <x:c r="G8" s="12" t="n">
        <x:v>18.475</x:v>
      </x:c>
      <x:c r="H8" s="9" t="n">
        <x:v>127774359</x:v>
      </x:c>
      <x:c r="I8" s="9" t="n">
        <x:v>638871.795</x:v>
      </x:c>
      <x:c r="J8" s="9" t="n">
        <x:v>5689</x:v>
      </x:c>
      <x:c r="K8" s="12" t="n">
        <x:v>28.445</x:v>
      </x:c>
      <x:c r="L8" s="13" t="n">
        <x:v>51616.419347099945</x:v>
      </x:c>
      <x:c r="M8" s="10" t="n">
        <x:v>258.0820967354997</x:v>
      </x:c>
    </x:row>
    <x:row r="9">
      <x:c r="A9" s="7" t="str">
        <x:v>Overall</x:v>
      </x:c>
      <x:c r="B9" s="2" t="str">
        <x:v>Single-Agent</x:v>
      </x:c>
      <x:c r="C9" s="8" t="n">
        <x:v>200</x:v>
      </x:c>
      <x:c r="D9" s="8" t="n">
        <x:v>170</x:v>
      </x:c>
      <x:c r="E9" s="11" t="n">
        <x:v>0.85</x:v>
      </x:c>
      <x:c r="F9" s="9" t="n">
        <x:v>2476</x:v>
      </x:c>
      <x:c r="G9" s="12" t="n">
        <x:v>12.38</x:v>
      </x:c>
      <x:c r="H9" s="9" t="n">
        <x:v>149380042</x:v>
      </x:c>
      <x:c r="I9" s="9" t="n">
        <x:v>746900.21</x:v>
      </x:c>
      <x:c r="J9" s="9" t="n">
        <x:v>3533</x:v>
      </x:c>
      <x:c r="K9" s="12" t="n">
        <x:v>17.665</x:v>
      </x:c>
      <x:c r="L9" s="13" t="n">
        <x:v>35324.042623900015</x:v>
      </x:c>
      <x:c r="M9" s="10" t="n">
        <x:v>176.62021311950008</x:v>
      </x:c>
    </x:row>
  </x:sheetData>
  <x:pageMargins left="0.7" right="0.7" top="0.75" bottom="0.75" header="0.3" footer="0.3"/>
  <x:tableParts count="1">
    <x:tablePart xmlns:r="http://schemas.openxmlformats.org/officeDocument/2006/relationships" r:id="Rdd2fef00b0ce48c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5" hidden="0" customWidth="1"/>
    <x:col min="2" max="2" width="18.75" hidden="0" customWidth="1"/>
    <x:col min="3" max="3" width="13.75" hidden="0" customWidth="1"/>
    <x:col min="4" max="4" width="16.8799991607666" hidden="0" customWidth="1"/>
    <x:col min="5" max="5" width="23.75" hidden="0" customWidth="1"/>
    <x:col min="6" max="6" width="25" hidden="0" customWidth="1"/>
    <x:col min="7" max="7" width="16.8799991607666" hidden="0" customWidth="1"/>
    <x:col min="8" max="8" width="11.25" hidden="0" customWidth="1"/>
    <x:col min="9" max="9" width="13.75" hidden="0" customWidth="1"/>
    <x:col min="10" max="10" width="12.5" hidden="0" customWidth="1"/>
    <x:col min="11" max="11" width="17.5" hidden="0" customWidth="1"/>
    <x:col min="12" max="12" width="22.5" hidden="0" customWidth="1"/>
  </x:cols>
  <x:sheetData>
    <x:row r="1" ht="27" customHeight="1">
      <x:c r="A1" s="6" t="str">
        <x:v>Spatial support</x:v>
      </x:c>
      <x:c r="B1" s="6" t="str">
        <x:v>Baseline UTC</x:v>
      </x:c>
      <x:c r="C1" s="6" t="str">
        <x:v>Valid baseline days</x:v>
      </x:c>
      <x:c r="D1" s="6" t="str">
        <x:v>Baseline mean</x:v>
      </x:c>
      <x:c r="E1" s="6" t="str">
        <x:v>First-night UTC product date</x:v>
      </x:c>
      <x:c r="F1" s="6" t="str">
        <x:v>First local night</x:v>
      </x:c>
      <x:c r="G1" s="6" t="str">
        <x:v>First-night mean</x:v>
      </x:c>
      <x:c r="H1" s="6" t="str">
        <x:v>Change</x:v>
      </x:c>
      <x:c r="I1" s="6" t="str">
        <x:v>QA-valid pixels</x:v>
      </x:c>
      <x:c r="J1" s="6" t="str">
        <x:v>AOI pixels</x:v>
      </x:c>
      <x:c r="K1" s="6" t="str">
        <x:v>Median UTC_Time (h)</x:v>
      </x:c>
      <x:c r="L1" s="6" t="str">
        <x:v>Interpretation</x:v>
      </x:c>
    </x:row>
    <x:row r="2">
      <x:c r="A2" s="7" t="str">
        <x:v>25 km geodesic buffer</x:v>
      </x:c>
      <x:c r="B2" s="2" t="str">
        <x:v>2025-03-21–27</x:v>
      </x:c>
      <x:c r="C2" s="8" t="n">
        <x:v>6</x:v>
      </x:c>
      <x:c r="D2" s="14" t="n">
        <x:v>1.4825387715</x:v>
      </x:c>
      <x:c r="E2" s="2" t="str">
        <x:v>2025-03-28</x:v>
      </x:c>
      <x:c r="F2" s="7" t="str">
        <x:v>2025-03-29 Asia/Yangon</x:v>
      </x:c>
      <x:c r="G2" s="14" t="n">
        <x:v>1.043512512</x:v>
      </x:c>
      <x:c r="H2" s="15" t="n">
        <x:v>-0.29613138485</x:v>
      </x:c>
      <x:c r="I2" s="9" t="n">
        <x:v>9802</x:v>
      </x:c>
      <x:c r="J2" s="9" t="n">
        <x:v>9895</x:v>
      </x:c>
      <x:c r="K2" s="16" t="n">
        <x:v>19.945844650268555</x:v>
      </x:c>
      <x:c r="L2" s="7" t="str">
        <x:v>Descriptive decrease</x:v>
      </x:c>
    </x:row>
    <x:row r="3">
      <x:c r="A3" s="7" t="str">
        <x:v>50 km geodesic buffer</x:v>
      </x:c>
      <x:c r="B3" s="2" t="str">
        <x:v>2025-03-21–27</x:v>
      </x:c>
      <x:c r="C3" s="8" t="n">
        <x:v>7</x:v>
      </x:c>
      <x:c r="D3" s="14" t="n">
        <x:v>0.8338199965</x:v>
      </x:c>
      <x:c r="E3" s="2" t="str">
        <x:v>2025-03-28</x:v>
      </x:c>
      <x:c r="F3" s="7" t="str">
        <x:v>2025-03-29 Asia/Yangon</x:v>
      </x:c>
      <x:c r="G3" s="14" t="n">
        <x:v>0.874851274</x:v>
      </x:c>
      <x:c r="H3" s="15" t="n">
        <x:v>0.049208795269</x:v>
      </x:c>
      <x:c r="I3" s="9" t="n">
        <x:v>39330</x:v>
      </x:c>
      <x:c r="J3" s="9" t="n">
        <x:v>39575</x:v>
      </x:c>
      <x:c r="K3" s="16" t="n">
        <x:v>19.945844650268555</x:v>
      </x:c>
      <x:c r="L3" s="7" t="str">
        <x:v>Descriptive increase</x:v>
      </x:c>
    </x:row>
  </x:sheetData>
  <x:pageMargins left="0.7" right="0.7" top="0.75" bottom="0.75" header="0.3" footer="0.3"/>
  <x:tableParts count="1">
    <x:tablePart xmlns:r="http://schemas.openxmlformats.org/officeDocument/2006/relationships" r:id="R3a1d7b2722d9407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2.5" hidden="0" customWidth="1"/>
    <x:col min="2" max="2" width="65" hidden="0" customWidth="1"/>
    <x:col min="3" max="3" width="65" hidden="0" customWidth="1"/>
    <x:col min="4" max="4" width="13.130000114440918" hidden="0" customWidth="1"/>
    <x:col min="5" max="5" width="11.25" hidden="0" customWidth="1"/>
    <x:col min="6" max="6" width="13.75" hidden="0" customWidth="1"/>
    <x:col min="7" max="7" width="13.75" hidden="0" customWidth="1"/>
    <x:col min="8" max="8" width="16.25" hidden="0" customWidth="1"/>
  </x:cols>
  <x:sheetData>
    <x:row r="1" ht="27" customHeight="1">
      <x:c r="A1" s="19" t="str">
        <x:v>Contract element</x:v>
      </x:c>
      <x:c r="B1" s="19" t="str">
        <x:v>Case definition</x:v>
      </x:c>
      <x:c r="C1" s="19" t="str">
        <x:v>Interpretation boundary</x:v>
      </x:c>
      <x:c r="D1" s="1"/>
      <x:c r="E1" s="1"/>
      <x:c r="F1" s="1"/>
      <x:c r="G1" s="1"/>
      <x:c r="H1" s="1"/>
    </x:row>
    <x:row r="2">
      <x:c r="A2" s="1" t="str">
        <x:v>Event-record selection</x:v>
      </x:c>
      <x:c r="B2" s="25" t="str">
        <x:v>City of Tehran ranked first within the retained exact-coordinate subset: 142 of 248 records assigned among 20 candidate Iranian ADM2 polygons.</x:v>
      </x:c>
      <x:c r="C2" s="25" t="str">
        <x:v>The source contained 2,702 retained attack records, of which 958 had valid exact coordinates; record counts are not a complete census of attacks.</x:v>
      </x:c>
      <x:c r="D2" s="1"/>
      <x:c r="E2" s="1"/>
      <x:c r="F2" s="1"/>
      <x:c r="G2" s="1"/>
      <x:c r="H2" s="1"/>
    </x:row>
    <x:row r="3">
      <x:c r="A3" s="1" t="str">
        <x:v>AOI</x:v>
      </x:c>
      <x:c r="B3" s="25" t="str">
        <x:v>geoBoundaries ADM2 / canonical Shahrestan / source-named unit 'City of Tehran'; not asserted to be a municipality</x:v>
      </x:c>
      <x:c r="C3" s="25" t="str">
        <x:v>Administrative reporting unit; not an event-point buffer or functional urban footprint.</x:v>
      </x:c>
      <x:c r="D3" s="1"/>
      <x:c r="E3" s="1"/>
      <x:c r="F3" s="1"/>
      <x:c r="G3" s="1"/>
      <x:c r="H3" s="1"/>
    </x:row>
    <x:row r="4">
      <x:c r="A4" s="1" t="str">
        <x:v>NTL product</x:v>
      </x:c>
      <x:c r="B4" s="25" t="str">
        <x:v>NASA/VIIRS/002/VNP46A2, DNB_BRDF_Corrected_NTL, daily UTC product dates</x:v>
      </x:c>
      <x:c r="C4" s="25" t="str">
        <x:v>Non-gap-filled band under the frozen strict-QA contract.</x:v>
      </x:c>
      <x:c r="D4" s="1"/>
      <x:c r="E4" s="1"/>
      <x:c r="F4" s="1"/>
      <x:c r="G4" s="1"/>
      <x:c r="H4" s="1"/>
    </x:row>
    <x:row r="5">
      <x:c r="A5" s="1" t="str">
        <x:v>Latest availability</x:v>
      </x:c>
      <x:c r="B5" s="25" t="str">
        <x:v>GEE collection images through 2026-08-19; latest strict-qualified City of Tehran value 2026-08-12.</x:v>
      </x:c>
      <x:c r="C5" s="25" t="str">
        <x:v>Product dates after the strict-qualified endpoint are retained as gaps, not imputed observations.</x:v>
      </x:c>
      <x:c r="D5" s="1"/>
      <x:c r="E5" s="1"/>
      <x:c r="F5" s="1"/>
      <x:c r="G5" s="1"/>
      <x:c r="H5" s="1"/>
    </x:row>
    <x:row r="6">
      <x:c r="A6" s="1"/>
      <x:c r="B6" s="1"/>
      <x:c r="C6" s="1"/>
      <x:c r="D6" s="1"/>
      <x:c r="E6" s="1"/>
      <x:c r="F6" s="1"/>
      <x:c r="G6" s="1"/>
      <x:c r="H6" s="1"/>
    </x:row>
    <x:row r="7">
      <x:c r="A7" s="1"/>
      <x:c r="B7" s="1"/>
      <x:c r="C7" s="1"/>
      <x:c r="D7" s="1"/>
      <x:c r="E7" s="1"/>
      <x:c r="F7" s="1"/>
      <x:c r="G7" s="1"/>
      <x:c r="H7" s="1"/>
    </x:row>
    <x:row r="8" ht="27" customHeight="1">
      <x:c r="A8" s="19" t="str">
        <x:v>Window</x:v>
      </x:c>
      <x:c r="B8" s="19" t="str">
        <x:v>Start UTC</x:v>
      </x:c>
      <x:c r="C8" s="19" t="str">
        <x:v>End UTC</x:v>
      </x:c>
      <x:c r="D8" s="19" t="str">
        <x:v>Calendar days</x:v>
      </x:c>
      <x:c r="E8" s="19" t="str">
        <x:v>Images</x:v>
      </x:c>
      <x:c r="F8" s="19" t="str">
        <x:v>Qualified days</x:v>
      </x:c>
      <x:c r="G8" s="19" t="str">
        <x:v>Mean ANTL</x:v>
      </x:c>
      <x:c r="H8" s="19" t="str">
        <x:v>Change vs baseline</x:v>
      </x:c>
    </x:row>
    <x:row r="9">
      <x:c r="A9" s="1" t="str">
        <x:v>Pre-conflict baseline</x:v>
      </x:c>
      <x:c r="B9" s="1" t="str">
        <x:v>2026-01-01</x:v>
      </x:c>
      <x:c r="C9" s="1" t="str">
        <x:v>2026-02-27</x:v>
      </x:c>
      <x:c r="D9" s="1" t="n">
        <x:v>58</x:v>
      </x:c>
      <x:c r="E9" s="1" t="n">
        <x:v>58</x:v>
      </x:c>
      <x:c r="F9" s="1" t="n">
        <x:v>47</x:v>
      </x:c>
      <x:c r="G9" s="23" t="n">
        <x:v>67.23183490694599</x:v>
      </x:c>
      <x:c r="H9" s="24" t="n">
        <x:v>0</x:v>
      </x:c>
    </x:row>
    <x:row r="10">
      <x:c r="A10" s="1" t="str">
        <x:v>Conflict evaluation</x:v>
      </x:c>
      <x:c r="B10" s="1" t="str">
        <x:v>2026-02-28</x:v>
      </x:c>
      <x:c r="C10" s="1" t="str">
        <x:v>2026-04-07</x:v>
      </x:c>
      <x:c r="D10" s="1" t="n">
        <x:v>39</x:v>
      </x:c>
      <x:c r="E10" s="1" t="n">
        <x:v>36</x:v>
      </x:c>
      <x:c r="F10" s="1" t="n">
        <x:v>20</x:v>
      </x:c>
      <x:c r="G10" s="23" t="n">
        <x:v>55.61991566160809</x:v>
      </x:c>
      <x:c r="H10" s="24" t="n">
        <x:v>-0.17271459661051472</x:v>
      </x:c>
    </x:row>
    <x:row r="11">
      <x:c r="A11" s="1" t="str">
        <x:v>Ceasefire evaluation</x:v>
      </x:c>
      <x:c r="B11" s="1" t="str">
        <x:v>2026-04-08</x:v>
      </x:c>
      <x:c r="C11" s="1" t="str">
        <x:v>2026-04-21</x:v>
      </x:c>
      <x:c r="D11" s="1" t="n">
        <x:v>14</x:v>
      </x:c>
      <x:c r="E11" s="1" t="n">
        <x:v>14</x:v>
      </x:c>
      <x:c r="F11" s="1" t="n">
        <x:v>11</x:v>
      </x:c>
      <x:c r="G11" s="23" t="n">
        <x:v>61.3582627055188</x:v>
      </x:c>
      <x:c r="H11" s="24" t="n">
        <x:v>-0.08736296145355349</x:v>
      </x:c>
    </x:row>
    <x:row r="12">
      <x:c r="A12" s="1" t="str">
        <x:v>Extended monitoring</x:v>
      </x:c>
      <x:c r="B12" s="1" t="str">
        <x:v>2026-04-22</x:v>
      </x:c>
      <x:c r="C12" s="1" t="str">
        <x:v>2026-08-19</x:v>
      </x:c>
      <x:c r="D12" s="1" t="n">
        <x:v>120</x:v>
      </x:c>
      <x:c r="E12" s="1" t="n">
        <x:v>107</x:v>
      </x:c>
      <x:c r="F12" s="1" t="n">
        <x:v>90</x:v>
      </x:c>
      <x:c r="G12" s="23" t="n">
        <x:v>59.254862665306256</x:v>
      </x:c>
      <x:c r="H12" s="24" t="n">
        <x:v>-0.11864873616316549</x:v>
      </x:c>
    </x:row>
  </x:sheetData>
  <x:pageMargins left="0.7" right="0.7" top="0.75" bottom="0.75" header="0.3" footer="0.3"/>
  <x:tableParts count="2">
    <x:tablePart xmlns:r="http://schemas.openxmlformats.org/officeDocument/2006/relationships" r:id="Re4c5b0f6cad64584"/>
    <x:tablePart xmlns:r="http://schemas.openxmlformats.org/officeDocument/2006/relationships" r:id="R2926d3d8114346c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7.5" hidden="0" customWidth="1"/>
    <x:col min="2" max="2" width="70" hidden="0" customWidth="1"/>
    <x:col min="3" max="3" width="70" hidden="0" customWidth="1"/>
  </x:cols>
  <x:sheetData>
    <x:row r="1" ht="27" customHeight="1">
      <x:c r="A1" s="6" t="str">
        <x:v>Element</x:v>
      </x:c>
      <x:c r="B1" s="6" t="str">
        <x:v>Value</x:v>
      </x:c>
      <x:c r="C1" s="6" t="str">
        <x:v>Validation or interpretation boundary</x:v>
      </x:c>
    </x:row>
    <x:row r="2">
      <x:c r="A2" s="2" t="str">
        <x:v>Analysis input</x:v>
      </x:c>
      <x:c r="B2" s="7" t="str">
        <x:v>User-approved analysis-ready RGB; 5674×9250 pixels, 40 m, EPSG:32651, float32, band order R/G/B.</x:v>
      </x:c>
      <x:c r="C2" s="7" t="str">
        <x:v>The preceding destriping and radiometric-calibration chain was not rerun in this experiment.</x:v>
      </x:c>
    </x:row>
    <x:row r="3">
      <x:c r="A3" s="2" t="str">
        <x:v>Indices</x:v>
      </x:c>
      <x:c r="B3" s="7" t="str">
        <x:v>RRLI = R/G; RBLI = B/G; green=0 and source-invalid pixels retained as NoData.</x:v>
      </x:c>
      <x:c r="C3" s="7" t="str">
        <x:v>Both derived rasters contained 9,784,136 valid index pixels.</x:v>
      </x:c>
    </x:row>
    <x:row r="4">
      <x:c r="A4" s="2" t="str">
        <x:v>Ordered classification</x:v>
      </x:c>
      <x:c r="B4" s="7" t="str">
        <x:v>RRLI &gt; 9 → RLED; otherwise RBLI &gt; 0.57 → WLED; otherwise Other; NoData = 255.</x:v>
      </x:c>
      <x:c r="C4" s="7" t="str">
        <x:v>Fixed Jia et al. method; no threshold tuning.</x:v>
      </x:c>
    </x:row>
    <x:row r="5">
      <x:c r="A5" s="2" t="str">
        <x:v>Class WLED</x:v>
      </x:c>
      <x:c r="B5" s="7" t="str">
        <x:v>4,211,496 pixels (43.04% of valid index pixels)</x:v>
      </x:c>
      <x:c r="C5" s="7" t="str">
        <x:v>Raster implementation result, not field-validated class accuracy.</x:v>
      </x:c>
    </x:row>
    <x:row r="6">
      <x:c r="A6" s="2" t="str">
        <x:v>Class RLED</x:v>
      </x:c>
      <x:c r="B6" s="7" t="str">
        <x:v>244,523 pixels (2.50% of valid index pixels)</x:v>
      </x:c>
      <x:c r="C6" s="7" t="str">
        <x:v>Raster implementation result, not field-validated class accuracy.</x:v>
      </x:c>
    </x:row>
    <x:row r="7">
      <x:c r="A7" s="2" t="str">
        <x:v>Class Other</x:v>
      </x:c>
      <x:c r="B7" s="7" t="str">
        <x:v>5,328,117 pixels (54.46% of valid index pixels)</x:v>
      </x:c>
      <x:c r="C7" s="7" t="str">
        <x:v>Raster implementation result, not field-validated class accuracy.</x:v>
      </x:c>
    </x:row>
    <x:row r="8">
      <x:c r="A8" s="2" t="str">
        <x:v>Post-lock implementation comparison</x:v>
      </x:c>
      <x:c r="B8" s="7" t="str">
        <x:v>Overall semantic agreement = 88.78%.</x:v>
      </x:c>
      <x:c r="C8" s="7" t="str">
        <x:v>Agreement with an earlier implementation file; not accuracy against independent ground truth.</x:v>
      </x:c>
    </x:row>
  </x:sheetData>
  <x:pageMargins left="0.7" right="0.7" top="0.75" bottom="0.75" header="0.3" footer="0.3"/>
  <x:tableParts count="1">
    <x:tablePart xmlns:r="http://schemas.openxmlformats.org/officeDocument/2006/relationships" r:id="R750b7f0183ff413c"/>
  </x:tableParts>
</x:worksheet>
</file>